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https://d.docs.live.net/ad0af0d1fef899c4/Desktop/01_Finale Abgabe - KI Projekt/03_Eigenständige_Anforderungesbeurteilug_2026/"/>
    </mc:Choice>
  </mc:AlternateContent>
  <xr:revisionPtr revIDLastSave="1966" documentId="11_07614CC8B2C19373DAE70E3E69D588EC2573F974" xr6:coauthVersionLast="47" xr6:coauthVersionMax="47" xr10:uidLastSave="{F5F0E426-8E8D-4243-B859-4D8EDD71E129}"/>
  <bookViews>
    <workbookView xWindow="-108" yWindow="-108" windowWidth="23256" windowHeight="12456" xr2:uid="{00000000-000D-0000-FFFF-FFFF00000000}"/>
  </bookViews>
  <sheets>
    <sheet name="Version Ole " sheetId="1" r:id="rId1"/>
    <sheet name="Version Luca" sheetId="2" r:id="rId2"/>
    <sheet name="Version Raphi" sheetId="3" r:id="rId3"/>
    <sheet name="Finale Version" sheetId="5" r:id="rId4"/>
  </sheets>
  <definedNames>
    <definedName name="_xlnm._FilterDatabase" localSheetId="3" hidden="1">'Finale Version'!$A$1:$F$1</definedName>
    <definedName name="_xlnm._FilterDatabase" localSheetId="1" hidden="1">'Version Luca'!$A$1:$F$1</definedName>
    <definedName name="_xlnm._FilterDatabase" localSheetId="0" hidden="1">'Version Ole '!$A$1:$H$1</definedName>
    <definedName name="_xlnm._FilterDatabase" localSheetId="2" hidden="1">'Version Raphi'!$A$1:$G$1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 l="1"/>
  <c r="A21" i="2"/>
  <c r="A22" i="2"/>
  <c r="A23" i="2"/>
  <c r="A24" i="2"/>
  <c r="A25" i="2"/>
  <c r="A26" i="2"/>
  <c r="A27" i="2"/>
  <c r="A28" i="2"/>
  <c r="A29" i="2"/>
  <c r="A30" i="2"/>
  <c r="A31" i="2"/>
  <c r="A32" i="2"/>
  <c r="A33" i="2"/>
  <c r="A34" i="2"/>
  <c r="A35" i="2"/>
  <c r="A36" i="2"/>
  <c r="A37" i="2"/>
  <c r="A38" i="2"/>
  <c r="A39" i="2"/>
  <c r="A40" i="2"/>
  <c r="A2" i="2"/>
  <c r="A3" i="2"/>
  <c r="A4" i="2"/>
  <c r="A5" i="2"/>
  <c r="A6" i="2"/>
  <c r="A7" i="2"/>
  <c r="A8" i="2"/>
  <c r="A9" i="2"/>
  <c r="A10" i="2"/>
  <c r="A11" i="2"/>
  <c r="A12" i="2"/>
  <c r="A13" i="2"/>
  <c r="A14" i="2"/>
  <c r="A15" i="2"/>
  <c r="A16" i="2"/>
  <c r="A17" i="2"/>
  <c r="A18" i="2"/>
  <c r="A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Ole Trosin</author>
  </authors>
  <commentList>
    <comment ref="F49" authorId="0" shapeId="0" xr:uid="{BAE77E1C-58AA-4BDA-A0B5-74E97A155F2B}">
      <text>
        <r>
          <rPr>
            <b/>
            <sz val="9"/>
            <color indexed="81"/>
            <rFont val="Tahoma"/>
            <family val="2"/>
          </rPr>
          <t>Ole Trosin:</t>
        </r>
        <r>
          <rPr>
            <sz val="9"/>
            <color indexed="81"/>
            <rFont val="Tahoma"/>
            <family val="2"/>
          </rPr>
          <t xml:space="preserve">
Keine eindeutige Anforderung, da durch den Wortlaut diverse keinen Klassifizierung festgestellt werden kann.</t>
        </r>
      </text>
    </comment>
    <comment ref="F81" authorId="0" shapeId="0" xr:uid="{7207C9AC-635F-47B4-8838-9F763F245CF4}">
      <text>
        <r>
          <rPr>
            <b/>
            <sz val="9"/>
            <color indexed="81"/>
            <rFont val="Tahoma"/>
            <family val="2"/>
          </rPr>
          <t>Ole Trosin:</t>
        </r>
        <r>
          <rPr>
            <sz val="9"/>
            <color indexed="81"/>
            <rFont val="Tahoma"/>
            <family val="2"/>
          </rPr>
          <t xml:space="preserve">
Fragwürdig, was mit besonderer Belastungssituationen gemeint ist.</t>
        </r>
      </text>
    </comment>
  </commentList>
</comments>
</file>

<file path=xl/sharedStrings.xml><?xml version="1.0" encoding="utf-8"?>
<sst xmlns="http://schemas.openxmlformats.org/spreadsheetml/2006/main" count="1337" uniqueCount="376">
  <si>
    <t>Index</t>
  </si>
  <si>
    <t>Pflichtenheftauszug</t>
  </si>
  <si>
    <r>
      <t xml:space="preserve">Seite 
</t>
    </r>
    <r>
      <rPr>
        <sz val="14"/>
        <color theme="1"/>
        <rFont val="Calibri"/>
        <family val="2"/>
        <scheme val="minor"/>
      </rPr>
      <t>[Pflichten]</t>
    </r>
  </si>
  <si>
    <t>Forderung, Wunsch, ggf. Ziel Kennzeichung</t>
  </si>
  <si>
    <t>Regalfachh oder Hallenboden?</t>
  </si>
  <si>
    <t>ISO konforme, formulierte 
Anforderung</t>
  </si>
  <si>
    <t>Beschreibung
Berührungspunkte mit der ISO 29148:2018</t>
  </si>
  <si>
    <t>Validierungsart</t>
  </si>
  <si>
    <t>Tabelle HA-T1</t>
  </si>
  <si>
    <t>Tabelle HA-T2</t>
  </si>
  <si>
    <t>Tabelle HC-T1</t>
  </si>
  <si>
    <t>Tabelle HC-T2</t>
  </si>
  <si>
    <t xml:space="preserve">Keines der im Lieferumfang enthaltenen Gewerke (z.B. Regal, Bühnen etc.) berücksichtigt Schnittstellen 
mit anderen Gewerken (z.B. Sprinkler, Technische Gebäudeausrüstung, Elektroinstallationen etc.) sofern 
nicht explizit anders beschrieben. Das betrifft z.B. zusätzliche Lasten, Befestigungspunkte, Freiräume 
innerhalb der Konstruktion, Gesamtprojektterminplan und Ähnliches. </t>
  </si>
  <si>
    <t>F</t>
  </si>
  <si>
    <t>R</t>
  </si>
  <si>
    <t>Die im Lieferumfang enthaltenen Gewerke dürfen keine mechanischen, elektrischen, baulichen oder terminlichen Schnittstellen zu anderen Gewerken berücksichtigen, sofern diese nicht explizit im Pflichtenheft beschrieben sind.</t>
  </si>
  <si>
    <t xml:space="preserve">abstrakt, eindeutig, atomar, nachweisbar </t>
  </si>
  <si>
    <t>Inspektion 
(Dokumentenprüfung)</t>
  </si>
  <si>
    <t>Ebene</t>
  </si>
  <si>
    <t xml:space="preserve">Oberkante Regalauflage </t>
  </si>
  <si>
    <t xml:space="preserve">Ebene </t>
  </si>
  <si>
    <t xml:space="preserve">Lichte Höhe </t>
  </si>
  <si>
    <t>Die Auslegung der im Lieferumfang enthaltenen Gewerke muss sich auf die im Pflichtenheft spezifizierten Eigen‑ und Nutzlasten beschränken; zusätzliche Lasten aus anderen Gewerken dürfen nicht angesetzt werden.</t>
  </si>
  <si>
    <t>1.250 mm</t>
  </si>
  <si>
    <t>1.110 mm</t>
  </si>
  <si>
    <t>Die im Lieferumfang enthaltenen Gewerke dürfen keine Befestigungspunkte oder konstruktiven Vorkehrungen zur Aufnahme von Komponenten anderer Gewerke enthalten, sofern diese nicht explizit spezifiziert sind.</t>
  </si>
  <si>
    <t>Inspektion 
(System)</t>
  </si>
  <si>
    <t>2.500 mm</t>
  </si>
  <si>
    <t>Freiräume oder Bauraumreserven für Komponenten anderer Gewerke müssen nur dann vorgesehen werden, wenn diese im Pflichtenheft explizit beschrieben sind.</t>
  </si>
  <si>
    <t>eindeutig, nachweisbar</t>
  </si>
  <si>
    <t>3.750 mm</t>
  </si>
  <si>
    <t>Die Dimensionen und Bestandteile des Regals sowie die Anzahl an Stellplätzen im Regal ist dem angehängten Layout zu entnehmen.</t>
  </si>
  <si>
    <t>Die Anzahl der Stellplätze der Regalanlage muss dem im Pflichtenheft beigefügten Layout entsprechen.</t>
  </si>
  <si>
    <t>atomar, eindeutig, nachweisbar</t>
  </si>
  <si>
    <t>5.300 mm</t>
  </si>
  <si>
    <t>1.410 mm</t>
  </si>
  <si>
    <t>Auszug zu der Kapaizität</t>
  </si>
  <si>
    <t>W</t>
  </si>
  <si>
    <t>Die Regalanlage muss eine Lagerkapazität von mindestens 10.844 Euro‑Palettenplätzen bereitstellen.</t>
  </si>
  <si>
    <t>Analyse (Simulation)</t>
  </si>
  <si>
    <t>7.200 mm</t>
  </si>
  <si>
    <t>1.760 mm</t>
  </si>
  <si>
    <t>Tabelle für die Höhenaufteilung des Compartments 1</t>
  </si>
  <si>
    <t>Die Regalanlage im Compartment 1 muss aus einer Bodenebene und acht weiteren Lagerebenen bestehen.</t>
  </si>
  <si>
    <t>9.100 mm</t>
  </si>
  <si>
    <t>Tabelle für die Höhenaufteilung des Compartments 2</t>
  </si>
  <si>
    <t>Die Oberkanten der Regalauflagen im Compartment 1 müssen gemäß Tabelle HA‑T1 in den angegebenen Höhen angeordnet sein.</t>
  </si>
  <si>
    <t>atomar, eindeutig, nachweisbar (messbar)</t>
  </si>
  <si>
    <t>Test (Messungen am System)</t>
  </si>
  <si>
    <t>11.200 mm</t>
  </si>
  <si>
    <t>1.960 mm</t>
  </si>
  <si>
    <t>Tabelle für die Höhenaufteilung des Compartments 3</t>
  </si>
  <si>
    <t>Die lichten Höhen der Lagerebenen im Compartment 1 müssen den in Tabelle HA‑T2 angegebenen Werten entsprechen.</t>
  </si>
  <si>
    <t>13.300 mm</t>
  </si>
  <si>
    <t>12.900 mm</t>
  </si>
  <si>
    <t>Tabelle für die Höhenaufteilung des Compartments 4</t>
  </si>
  <si>
    <t>Die lichte Höhe der obersten Lagerebene (Ebene 8) muss 2.060 mm betragen.</t>
  </si>
  <si>
    <t>2.060 mm</t>
  </si>
  <si>
    <t>2.435 mm</t>
  </si>
  <si>
    <t>2, 3</t>
  </si>
  <si>
    <t>Die Regalanlage in den Compartments 2 und 3 muss aus einer Bodenebene und acht weiteren Lagerebenen bestehen.</t>
  </si>
  <si>
    <t>Die Oberkanten der Regalauflagen in den Compartments 2 und 3 müssen gemäß Tabelle HC‑T1 in den angegebenen Höhen angeordnet sein.</t>
  </si>
  <si>
    <t>Die lichten Höhen der Lagerebenen in den Compartments 2 und 3 müssen den in Tabelle HC‑T2 angegebenen Werten entsprechen.</t>
  </si>
  <si>
    <t>Tabelle für die Höhenaufteilung des Compartments 5</t>
  </si>
  <si>
    <t>Die lichte Höhe der obersten Lagerebene (Ebene 8) in den Compartments 2 und 3 muss 2.435 mm betragen.</t>
  </si>
  <si>
    <t>Tabelle und Definitionen der Regalauflagen - Auflage 1</t>
  </si>
  <si>
    <t>Die Regalauflagen des Typs 1 müssen eine Länge von 2.950 mm aufweisen.</t>
  </si>
  <si>
    <t>Ein Auflagenpaar des Typs 1 muss eine Fachlast von mindestens 3.000 kg tragen können.</t>
  </si>
  <si>
    <t>Die Regalauflagen des Typs 1 müssen dem Profil AUF’B’E0444 (140/50/1,5) aus Stahlgüte S235 entsprechen.</t>
  </si>
  <si>
    <t>Tabelle und Definitionen der Regalauflagen - Auflage 2</t>
  </si>
  <si>
    <t>Die Regalauflagen des Typs 2 müssen eine Länge von 2.000 mm aufweisen.</t>
  </si>
  <si>
    <t>Ein Auflagenpaar des Typs 2 muss eine Fachlast von mindestens 2.000 kg tragen können.</t>
  </si>
  <si>
    <t>Die Regalauflagen des Typs 2 müssen dem Profil AUF’B’E414 (140/50/1,5) aus Stahlgüte S355MC entsprechen.</t>
  </si>
  <si>
    <t>Tabelle und Definitionen der Regalauflagen - Auflage 3</t>
  </si>
  <si>
    <t>Die Regalauflagen des Typs 3 müssen eine Länge von 1.300 mm aufweisen.</t>
  </si>
  <si>
    <t>Ein Auflagenpaar des Typs 3 muss eine Fachlast von mindestens 1.000 kg tragen können.</t>
  </si>
  <si>
    <t>Die Regalauflagen des Typs 3 müssen dem Profil AUF’B’E414 (140/50/1,5) aus Stahlgüte S355MC entsprechen.</t>
  </si>
  <si>
    <t xml:space="preserve">Tabelle und Definitionen der Regalauflagen - P&amp;D Auflage </t>
  </si>
  <si>
    <t>Die P&amp;D‑Auflage muss eine Länge von 1.050 mm aufweisen.</t>
  </si>
  <si>
    <t>Die P&amp;D‑Auflage muss dem Profil AUF’B’E0435/15 (145/50/1,5) aus Stahlgüte S355MC entsprechen.</t>
  </si>
  <si>
    <t>Tabelle und Definitionen - Durchfahrtsbreite</t>
  </si>
  <si>
    <t>Die Durchfahrt muss eine freie Breite von 5.900 mm aufweisen.</t>
  </si>
  <si>
    <t>Tabelle und Definitionen - Auflagentyp Durchfahrt</t>
  </si>
  <si>
    <t>Die Auflagen im Bereich der Durchfahrt müssen als IPE‑Profil (180/90/1,5) aus Stahlgüte S235 ausgeführt sein.</t>
  </si>
  <si>
    <t>Tabelle und Definitionen - Tragfähigkeit Durchfahrt</t>
  </si>
  <si>
    <t>Ein Auflagenpaar im Bereich der Durchfahrt muss eine Fachlast von mindestens 3.000 kg tragen können.</t>
  </si>
  <si>
    <t>Tabelle und Definition - Regalständer</t>
  </si>
  <si>
    <t>Die Höhe der Ständerrahmen muss 13.500 mm betragen.</t>
  </si>
  <si>
    <t>Die Höhe der Endständer muss 13.500 mm betragen.</t>
  </si>
  <si>
    <t>Die Ständer müssen eine Tiefe von 1.100 mm aufweisen.</t>
  </si>
  <si>
    <t>Die Ständer müssen dem Typ STD’B’28P in der Konfiguration Z2 entsprechen.</t>
  </si>
  <si>
    <t>Die Ständerprofile müssen eine Profilbreite von 120/65/2,5 mm aufweisen und aus Stahlgüte S420MC bestehen.</t>
  </si>
  <si>
    <t>Ein Ständerfeld muss eine maximale Feldlast von mindestens 23.147 kg bei gleichmäßig verteilter Last (94 %) aufnehmen können.</t>
  </si>
  <si>
    <t>Die effektive Pressfläche der Fußplatten muss 199,4 cm² betragen.</t>
  </si>
  <si>
    <t>Die maximale Flächenpressung unter den Fußplatten darf 65,37 kg/cm² nicht überschreiten.</t>
  </si>
  <si>
    <t>Für die angegebene maximale Feldlast müssen die definierten Etagendhöhen maßgeblich sein.</t>
  </si>
  <si>
    <t>Die Regalanlage darf keine Diagonalverbände enthalten.</t>
  </si>
  <si>
    <t xml:space="preserve">Berechnungsgrundlage </t>
  </si>
  <si>
    <t>Die statische Auslegung der Regalanlage muss gemäß EN 15512:2020 + A1:2022 erfolgen.</t>
  </si>
  <si>
    <t>Die Auslegung und das Angebot müssen unter Berücksichtigung der DIN EN 15512:2021 erstellt werden.</t>
  </si>
  <si>
    <t>Die Regalanlage muss der Regal­klasse 300B entsprechen.</t>
  </si>
  <si>
    <t>Die maximale Durchbiegung der Auflagen darf unter gleichmäßig verteilter Last 10 mm nicht überschreiten.</t>
  </si>
  <si>
    <t>Einwirkungen aus Erdbebenlasten gemäß EN 16681 müssen in der statischen Berechnung berücksichtigt werden.</t>
  </si>
  <si>
    <t>Oberflächenbehandlung</t>
  </si>
  <si>
    <t>Alle Systembauteile müssen mit einer Epoxidharz‑Polyester‑Pulverbeschichtung versehen und anschließend im Polymerisationsofen eingebrannt werden.</t>
  </si>
  <si>
    <t>Die Ständer müssen in der Farbe RAL 5010 (Enzianblau) ausgeführt werden.</t>
  </si>
  <si>
    <t>Die Auflagen müssen in der Farbe RAL 1007 (Narzißengelb) ausgeführt werden.</t>
  </si>
  <si>
    <t>Der Anfahrschutz muss in der Farbe RAL 1004 (Goldgelb) ausgeführt werden.</t>
  </si>
  <si>
    <t>Diverse weitere Bauteile müssen verzinkt ausgeführt werden.</t>
  </si>
  <si>
    <t>-</t>
  </si>
  <si>
    <t xml:space="preserve">4.1.4 Schnittansichten </t>
  </si>
  <si>
    <t>Die in Abschnitt 4.1.4 dargestellten und bemaßten Schnittansichten müssen für die geometrische Ausführung der Regalanlage maßgeblich sein.</t>
  </si>
  <si>
    <t>eindeutig, atomar, nachweisbar (Maßgeblichkeit)</t>
  </si>
  <si>
    <t>4.1.5 Regalfächer - Compartment 1</t>
  </si>
  <si>
    <t>Die in Abschnitt 4.1.5 dargestellten bemaßten Regalfach‑Detailzeichnungen müssen für die Ausführung der Regalfächer im Compartment 1 maßgeblich sein.</t>
  </si>
  <si>
    <t>Regalfächer mit der Kennzeichnung „Fachlast 3.000 kg“ müssen eine gleichmäßig verteilte Fachlast von mindestens 3.000 kg aufnehmen können.</t>
  </si>
  <si>
    <t>Regalfächer mit der Kennzeichnung „Fachlast 2.000 kg“ müssen eine gleichmäßig verteilte Fachlast von mindestens 2.000 kg aufnehmen können.</t>
  </si>
  <si>
    <t>Ein Regalfach mit einer Fachlast von 3.000 kg muss für die Aufnahme von drei Euro‑Paletten mit jeweils bis zu 1.000 kg ausgelegt sein.</t>
  </si>
  <si>
    <t>Ein Regalfach mit einer Fachlast von 2.000 kg muss für die Aufnahme von zwei Euro‑Paletten mit jeweils bis zu 1.000 kg ausgelegt sein.</t>
  </si>
  <si>
    <t>Die Fachlasten der Regalfächer müssen auf einer gleichmäßig verteilten Last über die jeweilige Anzahl der Palettenplätze basieren.</t>
  </si>
  <si>
    <t>Die geometrische Ausführung der Regalfächer im Compartment 1 muss der in Abschnitt 4.1.5 dargestellten Regalfach‑Geometrie entsprechen.</t>
  </si>
  <si>
    <t>4.1.5 Regalfächer - Compartment 2/3</t>
  </si>
  <si>
    <t>9, 10</t>
  </si>
  <si>
    <t>Die bemaßten Regalfach‑Detailzeichnungen für Compartment 2 und 3 sind für die geometrische Ausführung der Regalfächer maßgeblich.</t>
  </si>
  <si>
    <t>Regalfächer mit der Kennzeichnung „Fachlast 1.000 kg“ müssen eine gleichmäßig verteilte Fachlast von mindestens 1.000 kg aufnehmen können.</t>
  </si>
  <si>
    <t>Ein Regalfach mit einer Fachlast von 3.000 kg muss für die in den Detailzeichnungen dargestellte Anzahl an Palettenplätzen ausgelegt sein.</t>
  </si>
  <si>
    <t>Ein Regalfach mit einer Fachlast von 1.000 kg muss für die in den Detailzeichnungen dargestellte Anzahl an Palettenplätzen ausgelegt sein.</t>
  </si>
  <si>
    <t>Die in den Detailzeichnungen angegebenen Paletteneinzellasten müssen bei der statischen Auslegung der Regalfächer zugrunde gelegt werden.</t>
  </si>
  <si>
    <t>Inspektion + Test
(Dokumentenprüfung)</t>
  </si>
  <si>
    <t>Die Fachbreiten, Abstände zwischen den Palettenplätzen sowie die Gesamtbreiten der Regalfächer müssen den bemaßten Detailzeichnungen entsprechen.</t>
  </si>
  <si>
    <t>Die lichte Höhe, Auflagenhöhen und vertikalen Abstände der Regalfächer müssen gemäß den bemaßten Detailzeichnungen ausgeführt werden.</t>
  </si>
  <si>
    <t xml:space="preserve">Lieferkonditionen Regalanlage </t>
  </si>
  <si>
    <t>Die Regalanlage muss in Ausführung und Auslegung den relevanten geltenden Vorschriften und Richtlinien entsprechen.</t>
  </si>
  <si>
    <t xml:space="preserve">atomar, eindeutig, </t>
  </si>
  <si>
    <t>Die Zahlungsbedingungen müssen den im Vertrag festgelegten Regelungen entsprechen.</t>
  </si>
  <si>
    <t>Die Montage der Regalanlage muss im Lieferumfang enthalten sein.</t>
  </si>
  <si>
    <t>Eine WHG‑konforme Verdübelung einschließlich zugehöriger Dokumentation darf nicht Bestandteil des Lieferumfangs sein.</t>
  </si>
  <si>
    <t>Montagebedingungen Regallager</t>
  </si>
  <si>
    <t>H</t>
  </si>
  <si>
    <t>Die Montagehalle muss zum Zeitpunkt der Montage besenrein sein und ein ungehindertes Arbeiten ermöglichen.</t>
  </si>
  <si>
    <t>Inspektion + Demonstration
(Systemanalage)</t>
  </si>
  <si>
    <t>Der Hallenboden muss eine Mindestbetongüte von C20/25 gemäß DIN EN 206‑1 und DIN 1045‑2 aufweisen.</t>
  </si>
  <si>
    <t>Der Hallenboden muss entsprechend der Betongüte C20/25 gemäß DIN EN 206‑1 und DIN 1045‑2 bewehrt sein.</t>
  </si>
  <si>
    <t>Der Hallenboden muss eine Mindestdicke von 200 mm aufweisen.</t>
  </si>
  <si>
    <t>Test (Messungen an der Systemanalage)</t>
  </si>
  <si>
    <t>Der Hallenboden muss geschliffen sein und eine Spachtelung mit einer maximalen Spachteldicke von 150 mm aufweisen.</t>
  </si>
  <si>
    <t>Der Auftraggeber muss einen Nachweis über die Tragfähigkeit des Hallenbodens bereitstellen.</t>
  </si>
  <si>
    <t>Der Auftraggeber muss einen Nachweis über die zulässige Flächenpressung des Hallenbodens bereitstellen.</t>
  </si>
  <si>
    <t>Sofern eine bauseitige Fußbodenheizung vorhanden ist, darf keine regalseitige Verdübelung mit einer Tiefe von 100 mm vorgesehen werden.</t>
  </si>
  <si>
    <t>Der Fußboden darf nicht aus einem Material bestehen, das chemische Reaktionen mit dem Regal oder dessen Verankerung verursacht.</t>
  </si>
  <si>
    <t>Alle baurechtlichen Vorschriften müssen vom Auftraggeber der Regalanlage mit der zuständigen Baubehörde abgestimmt werden.</t>
  </si>
  <si>
    <t>Besondere Belastungssituationen müssen als Einwirkungen auf die Regalanlage verstanden werden, die nicht durch einschlägige Standardregelwerke (z. B. EN 15512 für Palettenregale oder EN 1993 für Kragarmregale) abgedeckt sind.</t>
  </si>
  <si>
    <t>Besondere Belastungssituationen dürfen bei der Standardkonstruktion der Regalanlage nicht berücksichtigt werden.</t>
  </si>
  <si>
    <t>Einwirkungen aus Erdbeben, Wind und Schnee gelten bei Aufstellung der Regalanlage im Freien als besondere Belastungssituationen.</t>
  </si>
  <si>
    <t>Der Auftraggeber muss prüfen, ob aufgrund der betrieblichen Umgebung, lokaler Gegebenheiten oder anzuwendender gesetzlicher Vorschriften besondere Belastungssituationen zu berücksichtigen sind.</t>
  </si>
  <si>
    <t>Befindet sich der Aufstellort in einem erdbebengefährdeten Gebiet, muss der Auftraggeber sicherstellen, dass entsprechende Belastungen berücksichtigt werden.</t>
  </si>
  <si>
    <t>Besondere Belastungssituationen müssen vom Auftraggeber spätestens zur Auftragserteilung schriftlich mitgeteilt werden.</t>
  </si>
  <si>
    <t>Veränderungen am Regal dürfen nur mit Zustimmung des Herstellers durchgeführt werden.</t>
  </si>
  <si>
    <t>Umbauten mit von den vorhandenen Belastungsschildern abweichenden Etagenaufteilungen dürfen nur mit Zustimmung des Herstellers erfolgen.</t>
  </si>
  <si>
    <t>Zusätzliche Anforderungen - Schmalganglager</t>
  </si>
  <si>
    <t>Der tragende Untergrund muss gemäß DIN 18202 ausgeführt sein.</t>
  </si>
  <si>
    <t>Der Hallenboden muss mindestens den Anforderungen der DIN 15185‑1 entsprechen.</t>
  </si>
  <si>
    <t>Der Hallenboden innerhalb der Regal­gassen muss gemäß der VDMA‑Richtlinie „Böden für den Einsatz von Schmalgang‑Flurförderzeugen“ ausgelegt sein.</t>
  </si>
  <si>
    <t>Der Erdableitungswiderstand RE darf gemäß DIN 51953 einen Wert von 10⁶ Ohm nicht überschreiten.</t>
  </si>
  <si>
    <t>Inspektion + Test 
(Dokumentenprüfung)</t>
  </si>
  <si>
    <t>Die Regalanlage im Schmalganglager muss den Anforderungen der EN 15620 entsprechen.</t>
  </si>
  <si>
    <t>Seite 
[Pflichten]</t>
  </si>
  <si>
    <t>4.1.1.1 Beschreibung des Regalaufbaus</t>
  </si>
  <si>
    <t>Inspektion</t>
  </si>
  <si>
    <t>4.1.1.1 Kapaizität</t>
  </si>
  <si>
    <t>Die Regalanlage soll über eine Lagerkapazität von 10.844 Euro‑Palettenplätzen verfügen. (Final abhängig vom Fluchtwegkonzept</t>
  </si>
  <si>
    <t>4.1.1.2 Höhenaufteilung</t>
  </si>
  <si>
    <t>Compartment 1 muss aus 9 Ebenen (Bodenebene plus 8 Höhenebenen) bestehen, wobei die Oberkanten für die Regalauflage und die lichten Höhen für Ebene 0 - 8 bei xyz mm liegen müssen.</t>
  </si>
  <si>
    <t>Compartment 2/3 muss aus 9 Ebenen (Bodenebene plus 8 Höhenebenen) bestehen, wobei die Oberkanten für die Regalauflage und die lichten Höhen für Ebene 0 - 8 bei xyz mm liegen müssen.</t>
  </si>
  <si>
    <t>4.1.1.3 Regalauflagen</t>
  </si>
  <si>
    <t>Auflage 1 muss 2.950mm lang sein</t>
  </si>
  <si>
    <t>Auflage 1 muss AUF'B'E0444 – 140/50/1.5 S235 als Auflagentyp haben</t>
  </si>
  <si>
    <t>Die Fachlast bei Auflage 1 muss pro Auflagenpaar 3.000kg betragen</t>
  </si>
  <si>
    <t>Test</t>
  </si>
  <si>
    <t>Auflage 2 muss 2.000mm lang sein</t>
  </si>
  <si>
    <t>Auflage 2 muss AUF'B'E414 – 140/50/1.5 S355MC als Auflagentyp haben</t>
  </si>
  <si>
    <t>Die Fachlast bei Auflage 2 muss pro Auflagenpaar 2.000kg betragen</t>
  </si>
  <si>
    <t>Auflage 3 muss 1.300 mm lang sein</t>
  </si>
  <si>
    <t>Auflage 3 muss AUF'B'E414 – 140/50/1.5 S355MC als Auflagentyp haben</t>
  </si>
  <si>
    <t>Die Fachlast bei Auflage 3 muss pro Auflagenpaar 1.000kg betragen</t>
  </si>
  <si>
    <t>P&amp;D Auflagen müssen 1.050 mm lang sein</t>
  </si>
  <si>
    <t>Auflagentyp der P&amp;D Auflagen muss AUF'B'E0435/15 – 145/50/1.5 S355MC sein</t>
  </si>
  <si>
    <t>Die Durchfahrt muss 5.900 mm lang sein</t>
  </si>
  <si>
    <t>Auflagentyp der Durchfahrt muss IPE Profil – 180/90/1.5 S235 sein</t>
  </si>
  <si>
    <t>Die Fachlast der Durchfahrt muss pro Auflagenpaar 3.000kg betragen</t>
  </si>
  <si>
    <t>4.1.1.4 Regalständer</t>
  </si>
  <si>
    <t>Der Ständerrahmen der Regalständer muss 13.500mm hoch sein</t>
  </si>
  <si>
    <t>Der Endständer der Regalständer muss 13.500mm hoch sein</t>
  </si>
  <si>
    <t>Die Ständertiefe muss 1.100mm betragen</t>
  </si>
  <si>
    <t>Der Ständertyp muss STD'B'28P (Z2-config) sein</t>
  </si>
  <si>
    <t>Die Profilbreite muss 120/65/2.5 S420MC entsprechen</t>
  </si>
  <si>
    <t>Die Feldlast muss 23.147 kg betragen bei 94 % gleichm. verteilter Last</t>
  </si>
  <si>
    <t>Die effektive Pressfläche der Fußplatte muss 199,4 cm² betragen</t>
  </si>
  <si>
    <t>Die maximale Flächenpressung muss 65,37 kg/cm² entsprechen</t>
  </si>
  <si>
    <t>Es dürfen keine Diagonalverbände bestehen</t>
  </si>
  <si>
    <t>4.1.3 Oberflächenbehandlung</t>
  </si>
  <si>
    <t>Die Ständer müssen mit RAL 5010 (Enzianblau) Epoxidharz Polyesterpulverlack lackiert (Fachwerke galvanisiert) und nachfolgend in einem Polymerisationsofen eingebrannt werden</t>
  </si>
  <si>
    <t>Die Auflagen müssen mit RAL 1007 (Narzissengelb) Epoxidharz Polyesterpulverlack lackiert und nachfolgend in einem Polymerisationsofen eingebrannt werden</t>
  </si>
  <si>
    <t>Der Anfahrtschutz muss mit RAL 1004 (Goldgelb) Epoxidharz Polyesterpulverlack lackiert und nachfolgend in einem Polymerisationsofen eingebrannt werden</t>
  </si>
  <si>
    <t>Diverse andere Bauteile müssen galvanisiert und nachfolgend in einem Polymerisationsofen eingebrannt werden</t>
  </si>
  <si>
    <t>4.1.4 Schnittansichten</t>
  </si>
  <si>
    <t>Compartment 1 muss die aus den Schnittansichten hervorgehenden Maße einhalten (Oberkanten und lichte Höhen pro Ebene bereits aus 4.1.1.2 Höhenaufteilung, das nicht doppelt)</t>
  </si>
  <si>
    <t>Compartment 2/3 muss die aus den Schnittansichten hervorgehenden Maße einhalten (Oberkanten und lichte Höhen pro Ebene bereits aus 4.1.1.2 Höhenaufteilung, das nicht doppelt)</t>
  </si>
  <si>
    <t>Ein Regal mit Fachlast 3.000kg in Compartment 1 muss bei 1.000kg Last pro Palette entweder die Maße xyz, die Maße yzx, die Maße zxy, etc. haben</t>
  </si>
  <si>
    <t>Ein Regal mit Fachlast 2.000kg in Compartment 1 muss bei 1.000kg Last pro Palette entweder die Maße xyz, die Maße yzx, die Maße zxy, etc. haben</t>
  </si>
  <si>
    <t>Ein Regal mit Fachlast 3.000kg in Compartment 1 muss bei 500kg Last pro Palette die Maße xyz haben</t>
  </si>
  <si>
    <t>Ein Regal mit Fachlast 3.000kg in Compartment 2 muss bei 1.000kg Last pro Palette entweder die Maße xyz, die Maße yzx, die Maße zxy, etc. haben</t>
  </si>
  <si>
    <t>Ein Regal mit Fachlast 1.000kg in Compartment 2 muss bei 1.000kg Last pro Palette entweder die Maße xyz, die Maße yzx, die Maße zxy, etc. haben</t>
  </si>
  <si>
    <t>Ein Regal mit Fachlast 3.000kg in Compartment 2 muss bei 500kg Last pro Palette die Maße xyz haben</t>
  </si>
  <si>
    <t>Kommentar</t>
  </si>
  <si>
    <t>Aus dem im vorangegangenen Abschnitt beschriebenen Lösungskonzept entstehen für den Auftragnehmer
die im Folgenden aufgeführten Lieferumfänge.
Keines der im Lieferumfang enthaltenen Gewerke (z.B. Regal, Bühnen etc.) berücksichtigt Schnittstellen
mit anderen Gewerken (z.B. Sprinkler, Technische Gebäudeausrüstung, Elektroinstallationen etc.) sofern
nicht explizit anders beschrieben. Das betrifft z.B. zusätzliche Lasten, Befestigungspunkte, Freiräume
innerhalb der Konstruktion, Gesamtprojektterminplan und Ähnliches.</t>
  </si>
  <si>
    <t>Der Lieferumfang des Auftragnehmers muss Schnittstellen zu fremden Gewerken nur dann berücksichtigen, wenn diese im Pflichtenheft ausdrücklich beschrieben sind.</t>
  </si>
  <si>
    <t>Notwendig, Abstrakt, Eindeutig, Vollständig, Atomar, Umsetzbar, Nachweisbar, Konform</t>
  </si>
  <si>
    <t>Dokumentenprüfung</t>
  </si>
  <si>
    <t>Anti-Anforderung: Wenn solche Anforderungen bestehen, werden sie im weiteren Angebot aufgelistet und sind damit iher nicht einzubringen.</t>
  </si>
  <si>
    <t>Der Lieferumfang des Auftragnehmers muss zusätzliche Lasten aus fremden Gewerken nicht berücksichtigen, sofern diese nicht ausdrücklich im Pflichtenheft beschrieben sind.</t>
  </si>
  <si>
    <t>Der Lieferumfang des Auftragnehmers muss Befestigungspunkte für fremde Gewerke nicht berücksichtigen, sofern diese nicht ausdrücklich im Pflichtenheft beschrieben sind.</t>
  </si>
  <si>
    <t>Notwendig, Abstrakt, Eindeutig, Vollständig, Atomar, Umsetzbar, Nachweisbar , Konform</t>
  </si>
  <si>
    <t>Der Lieferumfang des Auftragnehmers muss Freiräume innerhalb der Konstruktion für fremde Gewerke nicht berücksichtigen, sofern diese nicht ausdrücklich im Pflichtenheft beschrieben sind.</t>
  </si>
  <si>
    <t>Die Dimensionen und Bestandteile des Regals sowie die Anzahl an Stellplätzen im Regal ist dem angehängten Layout zu entnehmen. Weitere Details sind nicht zwingend im Layout dargestellt, jedoch im Lieferumfang enthalten.</t>
  </si>
  <si>
    <t>Die Regalanlage muss in ihren Dimensionen, Bestandteilen und der Anzahl der Stellplätze dem freigegebenen Layout entsprechen.</t>
  </si>
  <si>
    <t>Notwendig, Abstrakt, Eindeutig (Mit Bezug auf freigegebenes "Layout"), Vollständig, Atomar, Umsetzbar, Nachweisbar , Konform</t>
  </si>
  <si>
    <t>Maßabgleich, Zählung</t>
  </si>
  <si>
    <t>Das sind 3 Anforderungen</t>
  </si>
  <si>
    <t>Der Lieferumfang des Auftragnehmers muss auch solche Details der Regalanlage umfassen, die im Layout nicht zwingend dargestellt sind, sofern sie im Pflichtenheft beschrieben oder für die vertragsgemäße Funktion erforderlich sind.</t>
  </si>
  <si>
    <t>ca. 10.844 Euro-Palettenplätze*
*) finale Lagerplatzkapazität abhängig vom Fluchtwegs Konzept</t>
  </si>
  <si>
    <t>Die Regalanlage soll eine Lagerkapazität von 10.844 Euro-Palettenplätzen ± 30 bereitstellen, vorbehaltlich des final freigegebenen Fluchtwegskonzepts.</t>
  </si>
  <si>
    <t>Zählung</t>
  </si>
  <si>
    <t>Toleranzwert angenommen</t>
  </si>
  <si>
    <t>*) finale Lagerplatzkapazität abhängig vom Fluchtwegs Konzept</t>
  </si>
  <si>
    <t>Die finale Anzahl der Euro-Palettenplätze muss auf Basis des freigegebenen Fluchtwegskonzepts festgelegt werden.</t>
  </si>
  <si>
    <t>4.1.1.2 Höhenaufteilung Compartment 1</t>
  </si>
  <si>
    <t>Die Regalanlage muss im Compartment 1 acht Palettenebenen zuzüglich einer Bodenebene bereitstellen.</t>
  </si>
  <si>
    <t>Die Regalanlage muss im Compartment 1 auf den Ebenen 1 und 2 eine lichte Höhe von 1110 mm bereitstellen.</t>
  </si>
  <si>
    <t>Maßabgleich</t>
  </si>
  <si>
    <t>Die Regalanlage muss im Compartment 1 auf der Ebene 3 eine lichte Höhe von 1410 mm bereitstellen.</t>
  </si>
  <si>
    <t>Die Regalanlage muss im Compartment 1 auf der Ebene 4 und 5 eine lichte Höhe von 1760 mm bereitstellen.</t>
  </si>
  <si>
    <t>Die Regalanlage muss im Compartment 1 auf der Ebene 6 und 7 eine lichte Höhe von 1960 mm bereitstellen.</t>
  </si>
  <si>
    <t>Die Regalanlage muss im Compartment 1 oberhalb der Ebene 8 eine lichte Höhe im Top-Bereich von 2060 mm bereitstellen.</t>
  </si>
  <si>
    <t>Die Regalanlage muss im Compartment 1 auf Ebene 1 eine Oberkante der Regalauflage von 1250 mm ausführen.</t>
  </si>
  <si>
    <t>Die Regalanlage muss im Compartment 1 auf Ebene 2 eine Oberkante der Regalauflage von 2500 mm ausführen.</t>
  </si>
  <si>
    <t>Die Regalanlage muss im Compartment 1 auf Ebene 3 eine Oberkante der Regalauflage von 3750 mm ausführen.</t>
  </si>
  <si>
    <t>Die Regalanlage muss im Compartment 1 auf Ebene 4 eine Oberkante der Regalauflage von 5300 mm ausführen.</t>
  </si>
  <si>
    <t>Die Regalanlage muss im Compartment 1 auf Ebene 5 eine Oberkante der Regalauflage von 7200 mm ausführen.</t>
  </si>
  <si>
    <t>Die Regalanlage muss im Compartment 1 auf Ebene 6 eine Oberkante der Regalauflage von 9100 mm ausführen.</t>
  </si>
  <si>
    <t>Die Regalanlage muss im Compartment 1 auf Ebene 7 eine Oberkante der Regalauflage von 11200 mm ausführen.</t>
  </si>
  <si>
    <t>Die Regalanlage muss im Compartment 1 auf Ebene 8 eine Oberkante der Regalauflage von 13300 mm ausführen.</t>
  </si>
  <si>
    <t>4.1.1.2 Höhenaufteilung Compartment 2 und 3</t>
  </si>
  <si>
    <t>Die Regalanlage muss in den Compartments 2 und 3 jeweils acht Palettenebenen zuzüglich einer Bodenebene bereitstellen.</t>
  </si>
  <si>
    <t>Die Regalanlage muss in den Compartments 2 und 3 auf den Ebenen 0 bis 2 jeweils eine lichte Höhe von 1110 mm bereitstellen.</t>
  </si>
  <si>
    <t>Die Regalanlage muss in den Compartments 2 und 3 auf Ebene 3 eine lichte Höhe von 1410 mm bereitstellen.</t>
  </si>
  <si>
    <t>Die Regalanlage muss in den Compartments 2 und 3 auf den Ebenen 4 bis 7 jeweils eine lichte Höhe von 1760 mm bereitstellen.</t>
  </si>
  <si>
    <t>Die Regalanlage muss in den Compartments 2 und 3 oberhalb der Ebene 8 eine lichte Höhe im Top-Bereich von 2435 mm bereitstellen.</t>
  </si>
  <si>
    <t>Die Regalanlage muss in den Compartments 2 und 3 auf Ebene 1 eine Oberkante der Regalauflage von 1250 mm ausführen.</t>
  </si>
  <si>
    <t>Die Regalanlage muss in den Compartments 2 und 3 auf Ebene 2 eine Oberkante der Regalauflage von 2500 mm ausführen.</t>
  </si>
  <si>
    <t>Die Regalanlage muss in den Compartments 2 und 3 auf Ebene 3 eine Oberkante der Regalauflage von 3750 mm ausführen.</t>
  </si>
  <si>
    <t>Die Regalanlage muss in den Compartments 2 und 3 auf Ebene 4 eine Oberkante der Regalauflage von 5300 mm ausführen.</t>
  </si>
  <si>
    <t>Die Regalanlage muss in den Compartments 2 und 3 auf Ebene 5 eine Oberkante der Regalauflage von 7200 mm ausführen.</t>
  </si>
  <si>
    <t>Die Regalanlage muss in den Compartments 2 und 3 auf Ebene 6 eine Oberkante der Regalauflage von 9100 mm ausführen.</t>
  </si>
  <si>
    <t>Die Regalanlage muss in den Compartments 2 und 3 auf Ebene 7 eine Oberkante der Regalauflage von 11200 mm ausführen.</t>
  </si>
  <si>
    <t>Die Regalanlage muss in den Compartments 2 und 3 auf Ebene 8 eine Oberkante der Regalauflage von 12900 mm ausführen.</t>
  </si>
  <si>
    <t>4.1.1.3 Regalauflagen: Auflage 1</t>
  </si>
  <si>
    <t>Die Regalanlage muss für Auflage 1 eine Länge von 2950 mm ausführen.</t>
  </si>
  <si>
    <t>Die Regalanlage muss für Auflage 1 den Auflagentyp „AUF'B'E0444 – 140/50/1.5 S235“ verwenden.</t>
  </si>
  <si>
    <t>Sichtprüfung</t>
  </si>
  <si>
    <t>Die Regalanlage muss für Auflage 1 eine Fachlast von 3000 kg pro Auflagenpaar bereitstellen.</t>
  </si>
  <si>
    <t>4.1.1.3 Regalauflagen: Auflage 2</t>
  </si>
  <si>
    <t>Die Regalanlage muss für Auflage 2 eine Länge von 2000 mm ausführen.</t>
  </si>
  <si>
    <t>Die Regalanlage muss für Auflage 2 den Auflagentyp „AUF'B'E414 – 140/50/1.5 S355MC“ verwenden.</t>
  </si>
  <si>
    <t>Die Regalanlage muss für Auflage 2 eine Fachlast von 2000 kg pro Auflagenpaar bereitstellen.</t>
  </si>
  <si>
    <t>4.1.1.3 Regalauflagen: Auflage 3</t>
  </si>
  <si>
    <t>Die Regalanlage muss für Auflage 3 eine Länge von 1300 mm ausführen.</t>
  </si>
  <si>
    <t>Die Regalanlage muss für Auflage 3 den Auflagentyp „AUF'B'E414 – 140/50/1.5 S355MC“ verwenden.</t>
  </si>
  <si>
    <t>Die Regalanlage muss für Auflage 3 eine Fachlast von 1000 kg pro Auflagenpaar bereitstellen.</t>
  </si>
  <si>
    <t>4.1.1.3 Regalauflagen: P&amp;D Auflage</t>
  </si>
  <si>
    <t>Die Regalanlage muss für die P&amp;D Auflage eine Länge von 1050 mm ausführen.</t>
  </si>
  <si>
    <t>Die Regalanlage muss für die P&amp;D-Auflage den Auflagentyp „AUF'B'E0435/15 – 145/50/1.5 S355MC“ verwenden.</t>
  </si>
  <si>
    <t>4.1.1.3 Regalauflagen: Durchfahrt</t>
  </si>
  <si>
    <t>Die Regalanlage muss im Durchfahrtsbereich eine Auflagenlänge von 5900 mm ausführen.</t>
  </si>
  <si>
    <t>Die Regalanlage muss im Durchfahrtsbereich den Auflagentyp „IPE Profil – 180/90/1.5 S235“ verwenden.</t>
  </si>
  <si>
    <t>Die Regalanlage muss im Durchfahrtsbereich eine Fachlast von 3000 kg pro Auflagenpaar bereitstellen.</t>
  </si>
  <si>
    <t>4.1.1.4 Regalständer Ständerrahmen</t>
  </si>
  <si>
    <t>Die Regalanlage muss Ständerrahmen mit einer Höhe von 13.500 mm ausführen.</t>
  </si>
  <si>
    <t>4.1.1.4 Regalständer Endständer</t>
  </si>
  <si>
    <t>Die Regalanlage muss Endständer mit einer Höhe von 13.500 mm ausführen.</t>
  </si>
  <si>
    <t>4.1.1.4 Regalständer Ständertiefe</t>
  </si>
  <si>
    <t>Die Regalanlage muss eine Ständertiefe von 1.100 mm ausführen.</t>
  </si>
  <si>
    <t>4.1.1.4 Regalständer Ständertyp</t>
  </si>
  <si>
    <t>Die Regalanlage muss den Ständertyp „STD'B'28P (Z2-config)“ verwenden.</t>
  </si>
  <si>
    <t>4.1.1.4 Regalständer Profilausführung</t>
  </si>
  <si>
    <t>Die Regalanlage muss für die Regalständer das Profil „120/65/2.5 S420MC“ verwenden.</t>
  </si>
  <si>
    <t>4.1.1.4 Regalständer Feldlast</t>
  </si>
  <si>
    <t>Die Regalanlage muss eine maximale Feldlast von 23.147 kg bei 94 % gleichmäßig verteilter Last bereitstellen.</t>
  </si>
  <si>
    <t>Die maximale Feldlast gemäß Anforderung 49 muss für die im Pflichtenheft angegebenen Etagenhöhen gelten.</t>
  </si>
  <si>
    <t>4.1.1.4 Regalständer Effektive Pressfläche der Fußplatte</t>
  </si>
  <si>
    <t>Die Regalanlage muss Fußplatten mit einer effektiven Pressfläche von 199,4 cm² ausführen.</t>
  </si>
  <si>
    <t>4.1.1.4 Regalständer Feldlast Maximale Flächenpressung</t>
  </si>
  <si>
    <t>Die Regalanlage muss die maximale Flächenpressung auf 65,37 kg/cm² begrenzen.</t>
  </si>
  <si>
    <t>4.1.1.4 Regalständer Diagonalverbände</t>
  </si>
  <si>
    <t>Die Regalanlage darf keine Diagonalverbände in den Regalständern vorsehen.</t>
  </si>
  <si>
    <t>4.1.2 Berechnungsgrundlage</t>
  </si>
  <si>
    <t>Die Regalanlage muss nach EN 15512:2020+A1:2022 ausgelegt werden.</t>
  </si>
  <si>
    <t>Fragwürdig, eigentlich müsste hier die norm geöffnet werden und alle kriterien herausgesucht werden.</t>
  </si>
  <si>
    <t>Die Regalanlage muss der Regalklasse 300B aus  EN 15512:2020+A1:2022 entsprechen.</t>
  </si>
  <si>
    <t>Die Regalanlage muss die Durchbiegung der Auflagen unter Nennlast auf weniger als 10 mm begrenzen.</t>
  </si>
  <si>
    <t>Die im Pflichtenheft angegebenen Belastungswerte gelten ausschließlich für verteilte Lasten.</t>
  </si>
  <si>
    <t>Die Regalanlage muss für die beschichteten Systembauteile eine Oberflächenbehandlung mit Epoxidharz-Polyesterpulverlack vorsehen.</t>
  </si>
  <si>
    <t>Die Pulverbeschichtung der beschichteten Systembauteile muss durch Einbrennen im Polymerisationsofen ausgehärtet werden.</t>
  </si>
  <si>
    <t>Die Regalanlage muss die Ständer in RAL 5010 (Enzianblau) ausführen.</t>
  </si>
  <si>
    <t>Die Regalanlage muss die Auflagen in RAL 1007 (Narzissengelb) ausführen.</t>
  </si>
  <si>
    <t>Die Regalanlage muss den Anfahrschutz in RAL 1004 (Goldgelb) ausführen.</t>
  </si>
  <si>
    <t>Die Regalanlage muss die Stückliste 1 galvanisiert ausführen.</t>
  </si>
  <si>
    <t>Hier Stückliste anfragen, da diverse andere bauteile zu ungenau ist.</t>
  </si>
  <si>
    <t>4.1.5 Regalfächer Detail</t>
  </si>
  <si>
    <t>7,8,9,10</t>
  </si>
  <si>
    <t>Die Regalanlage muss in den Regalfach-Detailausführungen für Euro-Palettenplätze eine Stellplatzbreite von 850 mm je Palettenstellplatz bereitstellen.</t>
  </si>
  <si>
    <t>Die Regalanlage muss in Regalfächern mit mehreren Euro-Palettenstellplätzen zwischen benachbarten Stellplätzen einen Abstand von 100 mm vorsehen.</t>
  </si>
  <si>
    <t>Die Regalanlage muss in den dargestellten Standard-Regalfächern einen Randabstand von 100 mm zwischen äußerem Palettenstellplatz und Ständer vorsehen.</t>
  </si>
  <si>
    <t>Die Regalanlage muss Regalfächer mit einer Fachbreite von 2950 mm für drei Euro-Palettenstellplätze ausführen.</t>
  </si>
  <si>
    <t>Die Regalanlage muss Regalfächer mit 3000 kg Fachlast und 2950 mm Fachbreite für eine Lastverteilung von drei Paletten zu je 1000 kg auslegen.</t>
  </si>
  <si>
    <t>Die Regalanlage muss Regalfächer mit einer Fachbreite von 2000 mm für zwei Euro-Palettenstellplätze ausführen.</t>
  </si>
  <si>
    <t>Die Regalanlage muss Regalfächer mit 2000 kg Fachlast und 2000 mm Fachbreite für eine Lastverteilung von zwei Paletten zu je 1000 kg auslegen.</t>
  </si>
  <si>
    <t>Die Regalanlage muss Regalfächer mit einer Fachbreite von 1300 mm für einen Euro-Palettenstellplatz ausführen.</t>
  </si>
  <si>
    <t>Die Regalanlage muss Regalfächer mit 1000 kg Fachlast und 1300 mm Fachbreite für eine Lastverteilung von einer Palette mit 1000 kg auslegen.</t>
  </si>
  <si>
    <t>Die Regalanlage muss Regalfächer mit einer Fachbreite von 5900 mm für sechs Euro-Palettenstellplätze ausführen.</t>
  </si>
  <si>
    <t>Die Regalanlage muss Regalfächer mit 5900 mm Fachbreite und 3000 kg Fachlast für eine Lastverteilung von sechs Paletten zu je 500 kg auslegen.</t>
  </si>
  <si>
    <t>Die Regalanlage muss im 5900-mm-Regalfach zwischen benachbarten Palettenstellplätzen einen Abstand von 114 mm vorsehen.</t>
  </si>
  <si>
    <t>4.1.6 Lieferkonditionen Regalanlage</t>
  </si>
  <si>
    <t>Die Lieferung der Regalanlage muss frachtfrei erfolgen.</t>
  </si>
  <si>
    <t>keine anforderung ür produktentwicklung</t>
  </si>
  <si>
    <t>4.1.7 Montagebedingungen Regalanlage</t>
  </si>
  <si>
    <t>Eine WHG-konforme Verdübelung einschließlich zugehöriger Dokumentation darf nicht als Bestandteil des angebotenen Liefer- und Leistungsumfangs enthalten sein.</t>
  </si>
  <si>
    <t>Die Montageumgebung der Regalanlage muss zum Montagebeginn besenrein bereitgestellt werden.</t>
  </si>
  <si>
    <t>Der Auftraggeber muss sicherstellen, dass in der Montageumgebung der Regalanlage ungehindert gearbeitet werden kann.</t>
  </si>
  <si>
    <t>Der Hallenboden im Montagebereich der Regalanlage muss mindestens der Betongüte C20/25 entsprechen.</t>
  </si>
  <si>
    <t>Der Hallenboden im Montagebereich der Regalanlage muss eine Bewehrung gemäß DIN EN 206-1 und DIN 1045-2 aufweisen.</t>
  </si>
  <si>
    <t>Der Hallenboden im Montagebereich der Regalanlage muss eine Dicke von mindestens 20 cm aufweisen.</t>
  </si>
  <si>
    <t>Der Hallenboden im Montagebereich der Regalanlage muss eine Bodenverankerung mit Spreizdübeln zulassen.</t>
  </si>
  <si>
    <t>Der Hallenboden im Montagebereich der Regalanlage muss eine Verankerungsbohrtiefe von ca. 15 cm ermöglichen.</t>
  </si>
  <si>
    <t>Bei vorhandener bauseitiger Fußbodenheizung muss eine regalseitige Verdübelung von 10 cm vorgesehen werden.</t>
  </si>
  <si>
    <t>Der Fußboden im Montagebereich darf nicht aus Materialien bestehen, die chemische Reaktionen mit dem Regal oder der Verankerung verursachen.</t>
  </si>
  <si>
    <t>Welche sind das?</t>
  </si>
  <si>
    <t>Der Fußboden im Montagebereich der Regalanlage darf nicht magnesthalthig sein.</t>
  </si>
  <si>
    <t>Ein prüffähiger statischer Nachweis muss auf Anforderung gegen gesonderte Vergütung bereitgestellt werden können.</t>
  </si>
  <si>
    <t>Der tragende Untergrund für die Regalanlage muss nach DIN 18202 ausgelegt sein.</t>
  </si>
  <si>
    <t>Der Fahrboden innerhalb der Regalgassen muss gemäß der VDMA-Richtlinie „Böden für den Einsatz von Schmalgang-Flurförderzeugen“ ausgelegt sein.</t>
  </si>
  <si>
    <t>Der gemessene Erdableitungswiderstand der Regalanlage nach DIN 51953 darf 10^6 Ohm nicht überschreiten.</t>
  </si>
  <si>
    <t>Die Regalanlage muss in ihren Dimensionen dem freigegebenen Layout entsprechen.</t>
  </si>
  <si>
    <t>Die Regalanlage muss in ihren Bestandteilen dem freigegebenen Layout entsprechen.</t>
  </si>
  <si>
    <t>Die Regalanlage muss in ihrer der Anzahl der Stellplätze dem freigegebenen Layout entsprechen.</t>
  </si>
  <si>
    <t>4.1.1.1 Kapazität</t>
  </si>
  <si>
    <r>
      <t xml:space="preserve">Die Regalanlage soll über eine Lagerkapazität von </t>
    </r>
    <r>
      <rPr>
        <b/>
        <sz val="11"/>
        <color theme="1"/>
        <rFont val="Calibri"/>
        <family val="2"/>
        <scheme val="minor"/>
      </rPr>
      <t>ca.</t>
    </r>
    <r>
      <rPr>
        <sz val="11"/>
        <color theme="1"/>
        <rFont val="Calibri"/>
        <family val="2"/>
        <scheme val="minor"/>
      </rPr>
      <t xml:space="preserve"> 10.844 Euro‑Palettenplätzen verfügen. (Final abhängig vom Fluchtwegkonzept)</t>
    </r>
  </si>
  <si>
    <t>Muss expliziert werden</t>
  </si>
  <si>
    <t>Die Regalanlage muss im Compartment 1 auf den Ebenen 0, 1 und 2 eine lichte Höhe von 1110 mm bereitstellen.</t>
  </si>
  <si>
    <t>Die Regalanlage muss eine maximale Feldlast von 23.147 kg bei 94 % gleichmäßig verteilter Last für die im Pflichtenheft angegebenen Etagenhöhen bereitstellen.</t>
  </si>
  <si>
    <t>Die Ständer müssen mit RAL 5010 (Enzianblau) Epoxidharz Polyesterpulverlack lackiert und nachfolgend in einem Polymerisationsofen eingebrannt werden</t>
  </si>
  <si>
    <t>Die Fachwerke müssen mit RAL 5010 (Enzianblau) Epoxidharz Polyesterpulverlack lackiert, galvanisiert und nachfolgend in einem Polymerisationsofen eingebrannt werden</t>
  </si>
  <si>
    <t>Alle nicht genannten, dem Pflichtenheft zugehörigen Bauteile müssen galvanisiert und nachfolgend in einem Polymerisationsofen eingebrannt werden</t>
  </si>
  <si>
    <t>Die Regalanlage muss im Compartment 1 die Abfolge der Fachbreiten gemäß Schnittansicht [Zeile 1-5/7-16] ausführen.</t>
  </si>
  <si>
    <t>5, 6</t>
  </si>
  <si>
    <t>Die Regalanlage muss im Compartment 2/3 die Abfolge der Fachbreiten gemäß Schnittansicht [Zeile 6/17-20] ausführen.</t>
  </si>
  <si>
    <t>Die Regalanlage muss Regalfächer mit 2950 mm Fachbreite für eine Lastverteilung von 1000 kg pro Palette auslegen.</t>
  </si>
  <si>
    <t>Die Regalanlage muss Regalfächer mit 2000 mm Fachbreite für eine Lastverteilung von 1000 kg pro Palette auslegen.</t>
  </si>
  <si>
    <t>Die Regalanlage muss Regalfächer mit 1300 mm Fachbreite für eine Lastverteilung von 1000 kg pro Palette auslegen.</t>
  </si>
  <si>
    <t>8, 10</t>
  </si>
  <si>
    <t>Die Regalanlage muss Regalfächer mit einer Fachbreite von 5900 mm und einer lichten Höhe von 1720mm für sechs Euro-Palettenstellplätze ausführen.</t>
  </si>
  <si>
    <t>Die Regalanlage muss Regalfächer mit 5900 mm Fachbreite für eine Lastverteilung von 500 kg pro Palette auslegen.</t>
  </si>
  <si>
    <t>Die Regalanlage muss im 5900-mm-Regalfach zwischen äußerem Palettenstellplatz und Ständer einen Abstand von 114 mm vorsehen.</t>
  </si>
  <si>
    <t>Regalfächer mit bis zu 2950mm Fachbreite müssen eine 140mm dicke Ablage beinhalten</t>
  </si>
  <si>
    <t>Regalfächer mit 5900mm Fachbreite müssen eine 180mm dicke Ablage beinhalten</t>
  </si>
  <si>
    <r>
      <t xml:space="preserve">Beschreibung
</t>
    </r>
    <r>
      <rPr>
        <sz val="14"/>
        <color theme="1"/>
        <rFont val="Calibri"/>
        <family val="2"/>
        <scheme val="minor"/>
      </rPr>
      <t>Berührungspunkte mit der ISO 29148:2018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</si>
</sst>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b/>
      <sz val="9"/>
      <color indexed="81"/>
      <name val="Tahoma"/>
      <family val="2"/>
    </font>
    <font>
      <sz val="9"/>
      <color indexed="81"/>
      <name val="Tahoma"/>
      <family val="2"/>
    </font>
    <font>
      <b/>
      <sz val="11"/>
      <color rgb="FFFF0000"/>
      <name val="Calibri"/>
      <family val="2"/>
      <scheme val="minor"/>
    </font>
    <font>
      <sz val="14"/>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FFFF99"/>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left" wrapText="1"/>
    </xf>
    <xf numFmtId="0" fontId="0" fillId="0" borderId="1" xfId="0" applyBorder="1" applyAlignment="1">
      <alignment horizontal="center" vertical="center" wrapText="1"/>
    </xf>
    <xf numFmtId="1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vertical="center"/>
    </xf>
    <xf numFmtId="0" fontId="8" fillId="3" borderId="1" xfId="0" applyFont="1" applyFill="1" applyBorder="1" applyAlignment="1">
      <alignment horizontal="center" vertical="center"/>
    </xf>
    <xf numFmtId="0" fontId="8" fillId="3"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0" fillId="0" borderId="1" xfId="0" applyBorder="1" applyAlignment="1">
      <alignment horizontal="left" vertical="center"/>
    </xf>
    <xf numFmtId="0" fontId="3" fillId="0" borderId="1" xfId="0" applyFont="1" applyBorder="1" applyAlignment="1">
      <alignment vertical="center" wrapText="1"/>
    </xf>
    <xf numFmtId="0" fontId="0" fillId="0" borderId="1" xfId="0" applyBorder="1" applyAlignment="1">
      <alignment wrapText="1"/>
    </xf>
    <xf numFmtId="0" fontId="0" fillId="0" borderId="1" xfId="0" applyBorder="1"/>
    <xf numFmtId="0" fontId="8" fillId="5"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wrapText="1"/>
    </xf>
    <xf numFmtId="0" fontId="0" fillId="4" borderId="1" xfId="0" applyFill="1" applyBorder="1" applyAlignment="1">
      <alignment vertical="center" wrapText="1"/>
    </xf>
    <xf numFmtId="0" fontId="0" fillId="4" borderId="1" xfId="0" applyFill="1" applyBorder="1"/>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wrapText="1"/>
    </xf>
    <xf numFmtId="0" fontId="0" fillId="2" borderId="1" xfId="0" applyFill="1" applyBorder="1" applyAlignment="1">
      <alignment vertical="center" wrapText="1"/>
    </xf>
    <xf numFmtId="0" fontId="0" fillId="4" borderId="1" xfId="0" applyFill="1" applyBorder="1" applyAlignment="1">
      <alignment vertical="center"/>
    </xf>
    <xf numFmtId="0" fontId="0" fillId="0" borderId="0" xfId="0"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14" fontId="0" fillId="0" borderId="1" xfId="0" applyNumberFormat="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
  <sheetViews>
    <sheetView showGridLines="0" tabSelected="1" zoomScale="66" workbookViewId="0">
      <pane ySplit="1" topLeftCell="A3" activePane="bottomLeft" state="frozen"/>
      <selection activeCell="B1" sqref="B1"/>
      <selection pane="bottomLeft" activeCell="B1" sqref="B1"/>
    </sheetView>
  </sheetViews>
  <sheetFormatPr defaultColWidth="8.88671875" defaultRowHeight="14.4" x14ac:dyDescent="0.3"/>
  <cols>
    <col min="1" max="1" width="8.88671875" style="3"/>
    <col min="2" max="2" width="53.88671875" style="5" customWidth="1"/>
    <col min="3" max="3" width="19.109375" style="3" customWidth="1"/>
    <col min="4" max="4" width="34" style="3" customWidth="1"/>
    <col min="5" max="5" width="26.88671875" style="3" customWidth="1"/>
    <col min="6" max="6" width="70.109375" style="4" customWidth="1"/>
    <col min="7" max="7" width="51.44140625" style="2" customWidth="1"/>
    <col min="8" max="8" width="42" style="2" customWidth="1"/>
    <col min="9" max="17" width="8.88671875" style="2"/>
    <col min="18" max="18" width="21.44140625" style="2" bestFit="1" customWidth="1"/>
    <col min="19" max="20" width="8.88671875" style="2"/>
    <col min="21" max="21" width="15.88671875" style="2" customWidth="1"/>
    <col min="22" max="23" width="8.88671875" style="2"/>
    <col min="24" max="24" width="22.109375" style="2" bestFit="1" customWidth="1"/>
    <col min="25" max="26" width="8.88671875" style="2"/>
    <col min="27" max="27" width="11.44140625" style="2" bestFit="1" customWidth="1"/>
    <col min="28" max="16384" width="8.88671875" style="2"/>
  </cols>
  <sheetData>
    <row r="1" spans="1:27" ht="36" x14ac:dyDescent="0.3">
      <c r="A1" s="17" t="s">
        <v>0</v>
      </c>
      <c r="B1" s="18" t="s">
        <v>1</v>
      </c>
      <c r="C1" s="19" t="s">
        <v>2</v>
      </c>
      <c r="D1" s="19" t="s">
        <v>3</v>
      </c>
      <c r="E1" s="19" t="s">
        <v>4</v>
      </c>
      <c r="F1" s="19" t="s">
        <v>5</v>
      </c>
      <c r="G1" s="19" t="s">
        <v>6</v>
      </c>
      <c r="H1" s="17" t="s">
        <v>7</v>
      </c>
      <c r="Q1" s="34" t="s">
        <v>8</v>
      </c>
      <c r="R1" s="34"/>
      <c r="T1" s="34" t="s">
        <v>9</v>
      </c>
      <c r="U1" s="34"/>
      <c r="W1" s="34" t="s">
        <v>10</v>
      </c>
      <c r="X1" s="34"/>
      <c r="Z1" s="34" t="s">
        <v>11</v>
      </c>
      <c r="AA1" s="34"/>
    </row>
    <row r="2" spans="1:27" ht="115.2" x14ac:dyDescent="0.3">
      <c r="A2" s="6">
        <v>1</v>
      </c>
      <c r="B2" s="7" t="s">
        <v>12</v>
      </c>
      <c r="C2" s="6">
        <v>1</v>
      </c>
      <c r="D2" s="6" t="s">
        <v>13</v>
      </c>
      <c r="E2" s="6" t="s">
        <v>14</v>
      </c>
      <c r="F2" s="8" t="s">
        <v>15</v>
      </c>
      <c r="G2" s="8" t="s">
        <v>16</v>
      </c>
      <c r="H2" s="8" t="s">
        <v>17</v>
      </c>
      <c r="Q2" s="1" t="s">
        <v>18</v>
      </c>
      <c r="R2" s="1" t="s">
        <v>19</v>
      </c>
      <c r="T2" s="1" t="s">
        <v>20</v>
      </c>
      <c r="U2" s="1" t="s">
        <v>21</v>
      </c>
      <c r="W2" s="1" t="s">
        <v>18</v>
      </c>
      <c r="X2" s="1" t="s">
        <v>19</v>
      </c>
      <c r="Z2" s="1" t="s">
        <v>20</v>
      </c>
      <c r="AA2" s="1" t="s">
        <v>21</v>
      </c>
    </row>
    <row r="3" spans="1:27" ht="115.2" x14ac:dyDescent="0.3">
      <c r="A3" s="6">
        <v>1</v>
      </c>
      <c r="B3" s="7" t="s">
        <v>12</v>
      </c>
      <c r="C3" s="6">
        <v>1</v>
      </c>
      <c r="D3" s="6" t="s">
        <v>13</v>
      </c>
      <c r="E3" s="6" t="s">
        <v>14</v>
      </c>
      <c r="F3" s="8" t="s">
        <v>22</v>
      </c>
      <c r="G3" s="8" t="s">
        <v>16</v>
      </c>
      <c r="H3" s="8" t="s">
        <v>17</v>
      </c>
      <c r="Q3" s="3">
        <v>1</v>
      </c>
      <c r="R3" s="2" t="s">
        <v>23</v>
      </c>
      <c r="T3" s="3">
        <v>0</v>
      </c>
      <c r="U3" s="3" t="s">
        <v>24</v>
      </c>
      <c r="W3" s="3">
        <v>1</v>
      </c>
      <c r="X3" s="3" t="s">
        <v>23</v>
      </c>
      <c r="Z3" s="3">
        <v>0</v>
      </c>
      <c r="AA3" s="3" t="s">
        <v>24</v>
      </c>
    </row>
    <row r="4" spans="1:27" ht="115.2" x14ac:dyDescent="0.3">
      <c r="A4" s="6">
        <v>1</v>
      </c>
      <c r="B4" s="7" t="s">
        <v>12</v>
      </c>
      <c r="C4" s="6">
        <v>1</v>
      </c>
      <c r="D4" s="6" t="s">
        <v>13</v>
      </c>
      <c r="E4" s="6" t="s">
        <v>14</v>
      </c>
      <c r="F4" s="8" t="s">
        <v>25</v>
      </c>
      <c r="G4" s="8" t="s">
        <v>16</v>
      </c>
      <c r="H4" s="8" t="s">
        <v>26</v>
      </c>
      <c r="Q4" s="3">
        <v>2</v>
      </c>
      <c r="R4" s="2" t="s">
        <v>27</v>
      </c>
      <c r="T4" s="3">
        <v>1</v>
      </c>
      <c r="U4" s="3" t="s">
        <v>24</v>
      </c>
      <c r="W4" s="3">
        <v>2</v>
      </c>
      <c r="X4" s="3" t="s">
        <v>27</v>
      </c>
      <c r="Z4" s="3">
        <v>1</v>
      </c>
      <c r="AA4" s="3" t="s">
        <v>24</v>
      </c>
    </row>
    <row r="5" spans="1:27" ht="115.2" x14ac:dyDescent="0.3">
      <c r="A5" s="6">
        <v>1</v>
      </c>
      <c r="B5" s="7" t="s">
        <v>12</v>
      </c>
      <c r="C5" s="6">
        <v>1</v>
      </c>
      <c r="D5" s="6" t="s">
        <v>13</v>
      </c>
      <c r="E5" s="6" t="s">
        <v>14</v>
      </c>
      <c r="F5" s="8" t="s">
        <v>28</v>
      </c>
      <c r="G5" s="9" t="s">
        <v>29</v>
      </c>
      <c r="H5" s="8" t="s">
        <v>17</v>
      </c>
      <c r="Q5" s="3">
        <v>3</v>
      </c>
      <c r="R5" s="2" t="s">
        <v>30</v>
      </c>
      <c r="T5" s="3">
        <v>2</v>
      </c>
      <c r="U5" s="3" t="s">
        <v>24</v>
      </c>
      <c r="W5" s="3">
        <v>3</v>
      </c>
      <c r="X5" s="3" t="s">
        <v>30</v>
      </c>
      <c r="Z5" s="3">
        <v>2</v>
      </c>
      <c r="AA5" s="3" t="s">
        <v>24</v>
      </c>
    </row>
    <row r="6" spans="1:27" ht="43.2" x14ac:dyDescent="0.3">
      <c r="A6" s="6">
        <v>2</v>
      </c>
      <c r="B6" s="10" t="s">
        <v>31</v>
      </c>
      <c r="C6" s="6">
        <v>1</v>
      </c>
      <c r="D6" s="6" t="s">
        <v>13</v>
      </c>
      <c r="E6" s="6" t="s">
        <v>14</v>
      </c>
      <c r="F6" s="8" t="s">
        <v>32</v>
      </c>
      <c r="G6" s="9" t="s">
        <v>33</v>
      </c>
      <c r="H6" s="8" t="s">
        <v>17</v>
      </c>
      <c r="Q6" s="3">
        <v>4</v>
      </c>
      <c r="R6" s="2" t="s">
        <v>34</v>
      </c>
      <c r="T6" s="3">
        <v>3</v>
      </c>
      <c r="U6" s="3" t="s">
        <v>35</v>
      </c>
      <c r="W6" s="3">
        <v>4</v>
      </c>
      <c r="X6" s="3" t="s">
        <v>34</v>
      </c>
      <c r="Z6" s="3">
        <v>3</v>
      </c>
      <c r="AA6" s="3" t="s">
        <v>35</v>
      </c>
    </row>
    <row r="7" spans="1:27" ht="28.8" x14ac:dyDescent="0.3">
      <c r="A7" s="6">
        <v>3</v>
      </c>
      <c r="B7" s="7" t="s">
        <v>36</v>
      </c>
      <c r="C7" s="6">
        <v>2</v>
      </c>
      <c r="D7" s="6" t="s">
        <v>37</v>
      </c>
      <c r="E7" s="6" t="s">
        <v>14</v>
      </c>
      <c r="F7" s="7" t="s">
        <v>38</v>
      </c>
      <c r="G7" s="9" t="s">
        <v>33</v>
      </c>
      <c r="H7" s="9" t="s">
        <v>39</v>
      </c>
      <c r="Q7" s="3">
        <v>5</v>
      </c>
      <c r="R7" s="2" t="s">
        <v>40</v>
      </c>
      <c r="T7" s="3">
        <v>4</v>
      </c>
      <c r="U7" s="3" t="s">
        <v>41</v>
      </c>
      <c r="W7" s="3">
        <v>5</v>
      </c>
      <c r="X7" s="3" t="s">
        <v>40</v>
      </c>
      <c r="Z7" s="3">
        <v>4</v>
      </c>
      <c r="AA7" s="3" t="s">
        <v>41</v>
      </c>
    </row>
    <row r="8" spans="1:27" ht="28.8" x14ac:dyDescent="0.3">
      <c r="A8" s="6">
        <v>4</v>
      </c>
      <c r="B8" s="7" t="s">
        <v>42</v>
      </c>
      <c r="C8" s="6">
        <v>2</v>
      </c>
      <c r="D8" s="6" t="s">
        <v>13</v>
      </c>
      <c r="E8" s="6" t="s">
        <v>14</v>
      </c>
      <c r="F8" s="8" t="s">
        <v>43</v>
      </c>
      <c r="G8" s="9" t="s">
        <v>33</v>
      </c>
      <c r="H8" s="9" t="s">
        <v>39</v>
      </c>
      <c r="Q8" s="3">
        <v>6</v>
      </c>
      <c r="R8" s="2" t="s">
        <v>44</v>
      </c>
      <c r="T8" s="3">
        <v>5</v>
      </c>
      <c r="U8" s="3" t="s">
        <v>41</v>
      </c>
      <c r="W8" s="3">
        <v>6</v>
      </c>
      <c r="X8" s="3" t="s">
        <v>44</v>
      </c>
      <c r="Z8" s="3">
        <v>5</v>
      </c>
      <c r="AA8" s="3" t="s">
        <v>41</v>
      </c>
    </row>
    <row r="9" spans="1:27" ht="28.8" x14ac:dyDescent="0.3">
      <c r="A9" s="6">
        <v>4</v>
      </c>
      <c r="B9" s="7" t="s">
        <v>45</v>
      </c>
      <c r="C9" s="6">
        <v>2</v>
      </c>
      <c r="D9" s="6" t="s">
        <v>13</v>
      </c>
      <c r="E9" s="6" t="s">
        <v>14</v>
      </c>
      <c r="F9" s="8" t="s">
        <v>46</v>
      </c>
      <c r="G9" s="9" t="s">
        <v>47</v>
      </c>
      <c r="H9" s="9" t="s">
        <v>48</v>
      </c>
      <c r="Q9" s="3">
        <v>7</v>
      </c>
      <c r="R9" s="2" t="s">
        <v>49</v>
      </c>
      <c r="T9" s="3">
        <v>6</v>
      </c>
      <c r="U9" s="3" t="s">
        <v>50</v>
      </c>
      <c r="W9" s="3">
        <v>7</v>
      </c>
      <c r="X9" s="3" t="s">
        <v>49</v>
      </c>
      <c r="Z9" s="3">
        <v>6</v>
      </c>
      <c r="AA9" s="3" t="s">
        <v>41</v>
      </c>
    </row>
    <row r="10" spans="1:27" ht="28.8" x14ac:dyDescent="0.3">
      <c r="A10" s="6">
        <v>4</v>
      </c>
      <c r="B10" s="7" t="s">
        <v>51</v>
      </c>
      <c r="C10" s="6">
        <v>2</v>
      </c>
      <c r="D10" s="6" t="s">
        <v>13</v>
      </c>
      <c r="E10" s="6" t="s">
        <v>14</v>
      </c>
      <c r="F10" s="8" t="s">
        <v>52</v>
      </c>
      <c r="G10" s="9" t="s">
        <v>47</v>
      </c>
      <c r="H10" s="9" t="s">
        <v>48</v>
      </c>
      <c r="Q10" s="3">
        <v>8</v>
      </c>
      <c r="R10" s="2" t="s">
        <v>53</v>
      </c>
      <c r="T10" s="3">
        <v>7</v>
      </c>
      <c r="U10" s="3" t="s">
        <v>50</v>
      </c>
      <c r="W10" s="3">
        <v>8</v>
      </c>
      <c r="X10" s="3" t="s">
        <v>54</v>
      </c>
      <c r="Z10" s="3">
        <v>7</v>
      </c>
      <c r="AA10" s="3" t="s">
        <v>41</v>
      </c>
    </row>
    <row r="11" spans="1:27" x14ac:dyDescent="0.3">
      <c r="A11" s="6">
        <v>4</v>
      </c>
      <c r="B11" s="7" t="s">
        <v>55</v>
      </c>
      <c r="C11" s="6">
        <v>2</v>
      </c>
      <c r="D11" s="6" t="s">
        <v>13</v>
      </c>
      <c r="E11" s="6" t="s">
        <v>14</v>
      </c>
      <c r="F11" s="8" t="s">
        <v>56</v>
      </c>
      <c r="G11" s="9" t="s">
        <v>47</v>
      </c>
      <c r="H11" s="9" t="s">
        <v>48</v>
      </c>
      <c r="T11" s="3">
        <v>8</v>
      </c>
      <c r="U11" s="3" t="s">
        <v>57</v>
      </c>
      <c r="Z11" s="3">
        <v>8</v>
      </c>
      <c r="AA11" s="3" t="s">
        <v>58</v>
      </c>
    </row>
    <row r="12" spans="1:27" ht="28.8" x14ac:dyDescent="0.3">
      <c r="A12" s="11">
        <v>5</v>
      </c>
      <c r="B12" s="7" t="s">
        <v>45</v>
      </c>
      <c r="C12" s="12" t="s">
        <v>59</v>
      </c>
      <c r="D12" s="6" t="s">
        <v>13</v>
      </c>
      <c r="E12" s="6" t="s">
        <v>14</v>
      </c>
      <c r="F12" s="8" t="s">
        <v>60</v>
      </c>
      <c r="G12" s="9" t="s">
        <v>47</v>
      </c>
      <c r="H12" s="9" t="s">
        <v>39</v>
      </c>
    </row>
    <row r="13" spans="1:27" ht="28.8" x14ac:dyDescent="0.3">
      <c r="A13" s="11">
        <v>5</v>
      </c>
      <c r="B13" s="7" t="s">
        <v>51</v>
      </c>
      <c r="C13" s="12" t="s">
        <v>59</v>
      </c>
      <c r="D13" s="6" t="s">
        <v>13</v>
      </c>
      <c r="E13" s="6" t="s">
        <v>14</v>
      </c>
      <c r="F13" s="8" t="s">
        <v>61</v>
      </c>
      <c r="G13" s="9" t="s">
        <v>47</v>
      </c>
      <c r="H13" s="9" t="s">
        <v>48</v>
      </c>
    </row>
    <row r="14" spans="1:27" ht="28.8" x14ac:dyDescent="0.3">
      <c r="A14" s="11">
        <v>5</v>
      </c>
      <c r="B14" s="7" t="s">
        <v>55</v>
      </c>
      <c r="C14" s="12" t="s">
        <v>59</v>
      </c>
      <c r="D14" s="6" t="s">
        <v>13</v>
      </c>
      <c r="E14" s="6" t="s">
        <v>14</v>
      </c>
      <c r="F14" s="8" t="s">
        <v>62</v>
      </c>
      <c r="G14" s="9" t="s">
        <v>47</v>
      </c>
      <c r="H14" s="9" t="s">
        <v>48</v>
      </c>
    </row>
    <row r="15" spans="1:27" ht="28.8" x14ac:dyDescent="0.3">
      <c r="A15" s="11">
        <v>5</v>
      </c>
      <c r="B15" s="7" t="s">
        <v>63</v>
      </c>
      <c r="C15" s="12" t="s">
        <v>59</v>
      </c>
      <c r="D15" s="6" t="s">
        <v>13</v>
      </c>
      <c r="E15" s="6" t="s">
        <v>14</v>
      </c>
      <c r="F15" s="8" t="s">
        <v>64</v>
      </c>
      <c r="G15" s="9" t="s">
        <v>47</v>
      </c>
      <c r="H15" s="9" t="s">
        <v>48</v>
      </c>
    </row>
    <row r="16" spans="1:27" x14ac:dyDescent="0.3">
      <c r="A16" s="6">
        <v>6</v>
      </c>
      <c r="B16" s="7" t="s">
        <v>65</v>
      </c>
      <c r="C16" s="6">
        <v>3</v>
      </c>
      <c r="D16" s="6" t="s">
        <v>13</v>
      </c>
      <c r="E16" s="6" t="s">
        <v>14</v>
      </c>
      <c r="F16" s="8" t="s">
        <v>66</v>
      </c>
      <c r="G16" s="9" t="s">
        <v>47</v>
      </c>
      <c r="H16" s="9" t="s">
        <v>48</v>
      </c>
    </row>
    <row r="17" spans="1:8" ht="28.8" x14ac:dyDescent="0.3">
      <c r="A17" s="6">
        <v>6</v>
      </c>
      <c r="B17" s="7" t="s">
        <v>65</v>
      </c>
      <c r="C17" s="6">
        <v>3</v>
      </c>
      <c r="D17" s="6" t="s">
        <v>13</v>
      </c>
      <c r="E17" s="6" t="s">
        <v>14</v>
      </c>
      <c r="F17" s="8" t="s">
        <v>67</v>
      </c>
      <c r="G17" s="9" t="s">
        <v>47</v>
      </c>
      <c r="H17" s="9" t="s">
        <v>48</v>
      </c>
    </row>
    <row r="18" spans="1:8" ht="28.8" x14ac:dyDescent="0.3">
      <c r="A18" s="6">
        <v>6</v>
      </c>
      <c r="B18" s="7" t="s">
        <v>65</v>
      </c>
      <c r="C18" s="6">
        <v>3</v>
      </c>
      <c r="D18" s="6" t="s">
        <v>13</v>
      </c>
      <c r="E18" s="6" t="s">
        <v>14</v>
      </c>
      <c r="F18" s="8" t="s">
        <v>68</v>
      </c>
      <c r="G18" s="9" t="s">
        <v>47</v>
      </c>
      <c r="H18" s="8" t="s">
        <v>17</v>
      </c>
    </row>
    <row r="19" spans="1:8" x14ac:dyDescent="0.3">
      <c r="A19" s="6">
        <v>7</v>
      </c>
      <c r="B19" s="7" t="s">
        <v>69</v>
      </c>
      <c r="C19" s="6">
        <v>3</v>
      </c>
      <c r="D19" s="6" t="s">
        <v>13</v>
      </c>
      <c r="E19" s="6" t="s">
        <v>14</v>
      </c>
      <c r="F19" s="8" t="s">
        <v>70</v>
      </c>
      <c r="G19" s="9" t="s">
        <v>47</v>
      </c>
      <c r="H19" s="9" t="s">
        <v>48</v>
      </c>
    </row>
    <row r="20" spans="1:8" ht="28.8" x14ac:dyDescent="0.3">
      <c r="A20" s="6">
        <v>7</v>
      </c>
      <c r="B20" s="7" t="s">
        <v>69</v>
      </c>
      <c r="C20" s="6">
        <v>3</v>
      </c>
      <c r="D20" s="6" t="s">
        <v>13</v>
      </c>
      <c r="E20" s="6" t="s">
        <v>14</v>
      </c>
      <c r="F20" s="8" t="s">
        <v>71</v>
      </c>
      <c r="G20" s="9" t="s">
        <v>47</v>
      </c>
      <c r="H20" s="9" t="s">
        <v>48</v>
      </c>
    </row>
    <row r="21" spans="1:8" ht="28.8" x14ac:dyDescent="0.3">
      <c r="A21" s="6">
        <v>7</v>
      </c>
      <c r="B21" s="7" t="s">
        <v>69</v>
      </c>
      <c r="C21" s="6">
        <v>3</v>
      </c>
      <c r="D21" s="6" t="s">
        <v>13</v>
      </c>
      <c r="E21" s="6" t="s">
        <v>14</v>
      </c>
      <c r="F21" s="8" t="s">
        <v>72</v>
      </c>
      <c r="G21" s="9" t="s">
        <v>47</v>
      </c>
      <c r="H21" s="8" t="s">
        <v>17</v>
      </c>
    </row>
    <row r="22" spans="1:8" x14ac:dyDescent="0.3">
      <c r="A22" s="6">
        <v>8</v>
      </c>
      <c r="B22" s="7" t="s">
        <v>73</v>
      </c>
      <c r="C22" s="6">
        <v>3</v>
      </c>
      <c r="D22" s="6" t="s">
        <v>13</v>
      </c>
      <c r="E22" s="6" t="s">
        <v>14</v>
      </c>
      <c r="F22" s="8" t="s">
        <v>74</v>
      </c>
      <c r="G22" s="9" t="s">
        <v>47</v>
      </c>
      <c r="H22" s="9" t="s">
        <v>48</v>
      </c>
    </row>
    <row r="23" spans="1:8" ht="28.8" x14ac:dyDescent="0.3">
      <c r="A23" s="6">
        <v>8</v>
      </c>
      <c r="B23" s="7" t="s">
        <v>73</v>
      </c>
      <c r="C23" s="6">
        <v>3</v>
      </c>
      <c r="D23" s="6" t="s">
        <v>13</v>
      </c>
      <c r="E23" s="6" t="s">
        <v>14</v>
      </c>
      <c r="F23" s="8" t="s">
        <v>75</v>
      </c>
      <c r="G23" s="9" t="s">
        <v>47</v>
      </c>
      <c r="H23" s="9" t="s">
        <v>48</v>
      </c>
    </row>
    <row r="24" spans="1:8" ht="28.8" x14ac:dyDescent="0.3">
      <c r="A24" s="6">
        <v>8</v>
      </c>
      <c r="B24" s="7" t="s">
        <v>73</v>
      </c>
      <c r="C24" s="6">
        <v>3</v>
      </c>
      <c r="D24" s="6" t="s">
        <v>13</v>
      </c>
      <c r="E24" s="6" t="s">
        <v>14</v>
      </c>
      <c r="F24" s="8" t="s">
        <v>76</v>
      </c>
      <c r="G24" s="9" t="s">
        <v>47</v>
      </c>
      <c r="H24" s="8" t="s">
        <v>17</v>
      </c>
    </row>
    <row r="25" spans="1:8" x14ac:dyDescent="0.3">
      <c r="A25" s="6">
        <v>9</v>
      </c>
      <c r="B25" s="7" t="s">
        <v>77</v>
      </c>
      <c r="C25" s="6">
        <v>3</v>
      </c>
      <c r="D25" s="6" t="s">
        <v>13</v>
      </c>
      <c r="E25" s="6" t="s">
        <v>14</v>
      </c>
      <c r="F25" s="8" t="s">
        <v>78</v>
      </c>
      <c r="G25" s="9" t="s">
        <v>47</v>
      </c>
      <c r="H25" s="9" t="s">
        <v>48</v>
      </c>
    </row>
    <row r="26" spans="1:8" ht="28.8" x14ac:dyDescent="0.3">
      <c r="A26" s="6">
        <v>9</v>
      </c>
      <c r="B26" s="7" t="s">
        <v>77</v>
      </c>
      <c r="C26" s="6">
        <v>3</v>
      </c>
      <c r="D26" s="6" t="s">
        <v>13</v>
      </c>
      <c r="E26" s="6" t="s">
        <v>14</v>
      </c>
      <c r="F26" s="8" t="s">
        <v>79</v>
      </c>
      <c r="G26" s="9" t="s">
        <v>47</v>
      </c>
      <c r="H26" s="8" t="s">
        <v>17</v>
      </c>
    </row>
    <row r="27" spans="1:8" x14ac:dyDescent="0.3">
      <c r="A27" s="6">
        <v>10</v>
      </c>
      <c r="B27" s="7" t="s">
        <v>80</v>
      </c>
      <c r="C27" s="6">
        <v>3</v>
      </c>
      <c r="D27" s="6" t="s">
        <v>13</v>
      </c>
      <c r="E27" s="6" t="s">
        <v>14</v>
      </c>
      <c r="F27" s="8" t="s">
        <v>81</v>
      </c>
      <c r="G27" s="9" t="s">
        <v>47</v>
      </c>
      <c r="H27" s="9" t="s">
        <v>48</v>
      </c>
    </row>
    <row r="28" spans="1:8" ht="28.8" x14ac:dyDescent="0.3">
      <c r="A28" s="6">
        <v>11</v>
      </c>
      <c r="B28" s="7" t="s">
        <v>82</v>
      </c>
      <c r="C28" s="6">
        <v>3</v>
      </c>
      <c r="D28" s="6" t="s">
        <v>13</v>
      </c>
      <c r="E28" s="6" t="s">
        <v>14</v>
      </c>
      <c r="F28" s="8" t="s">
        <v>83</v>
      </c>
      <c r="G28" s="9" t="s">
        <v>47</v>
      </c>
      <c r="H28" s="8" t="s">
        <v>17</v>
      </c>
    </row>
    <row r="29" spans="1:8" ht="28.8" x14ac:dyDescent="0.3">
      <c r="A29" s="6">
        <v>11</v>
      </c>
      <c r="B29" s="7" t="s">
        <v>84</v>
      </c>
      <c r="C29" s="6">
        <v>3</v>
      </c>
      <c r="D29" s="6" t="s">
        <v>13</v>
      </c>
      <c r="E29" s="6" t="s">
        <v>14</v>
      </c>
      <c r="F29" s="8" t="s">
        <v>85</v>
      </c>
      <c r="G29" s="9" t="s">
        <v>47</v>
      </c>
      <c r="H29" s="9" t="s">
        <v>48</v>
      </c>
    </row>
    <row r="30" spans="1:8" x14ac:dyDescent="0.3">
      <c r="A30" s="6">
        <v>12</v>
      </c>
      <c r="B30" s="7" t="s">
        <v>86</v>
      </c>
      <c r="C30" s="6">
        <v>3</v>
      </c>
      <c r="D30" s="6" t="s">
        <v>13</v>
      </c>
      <c r="E30" s="6" t="s">
        <v>14</v>
      </c>
      <c r="F30" s="8" t="s">
        <v>87</v>
      </c>
      <c r="G30" s="9" t="s">
        <v>47</v>
      </c>
      <c r="H30" s="9" t="s">
        <v>48</v>
      </c>
    </row>
    <row r="31" spans="1:8" x14ac:dyDescent="0.3">
      <c r="A31" s="6">
        <v>12</v>
      </c>
      <c r="B31" s="7" t="s">
        <v>86</v>
      </c>
      <c r="C31" s="6">
        <v>3</v>
      </c>
      <c r="D31" s="6" t="s">
        <v>13</v>
      </c>
      <c r="E31" s="6" t="s">
        <v>14</v>
      </c>
      <c r="F31" s="8" t="s">
        <v>88</v>
      </c>
      <c r="G31" s="9" t="s">
        <v>47</v>
      </c>
      <c r="H31" s="9" t="s">
        <v>48</v>
      </c>
    </row>
    <row r="32" spans="1:8" x14ac:dyDescent="0.3">
      <c r="A32" s="6">
        <v>12</v>
      </c>
      <c r="B32" s="7" t="s">
        <v>86</v>
      </c>
      <c r="C32" s="6">
        <v>3</v>
      </c>
      <c r="D32" s="6" t="s">
        <v>13</v>
      </c>
      <c r="E32" s="6" t="s">
        <v>14</v>
      </c>
      <c r="F32" s="8" t="s">
        <v>89</v>
      </c>
      <c r="G32" s="9" t="s">
        <v>47</v>
      </c>
      <c r="H32" s="9" t="s">
        <v>48</v>
      </c>
    </row>
    <row r="33" spans="1:8" ht="28.8" x14ac:dyDescent="0.3">
      <c r="A33" s="6">
        <v>12</v>
      </c>
      <c r="B33" s="7" t="s">
        <v>86</v>
      </c>
      <c r="C33" s="6">
        <v>3</v>
      </c>
      <c r="D33" s="6" t="s">
        <v>13</v>
      </c>
      <c r="E33" s="6" t="s">
        <v>14</v>
      </c>
      <c r="F33" s="8" t="s">
        <v>90</v>
      </c>
      <c r="G33" s="9" t="s">
        <v>47</v>
      </c>
      <c r="H33" s="8" t="s">
        <v>17</v>
      </c>
    </row>
    <row r="34" spans="1:8" ht="28.8" x14ac:dyDescent="0.3">
      <c r="A34" s="6">
        <v>12</v>
      </c>
      <c r="B34" s="7" t="s">
        <v>86</v>
      </c>
      <c r="C34" s="6">
        <v>3</v>
      </c>
      <c r="D34" s="6" t="s">
        <v>13</v>
      </c>
      <c r="E34" s="6" t="s">
        <v>14</v>
      </c>
      <c r="F34" s="8" t="s">
        <v>91</v>
      </c>
      <c r="G34" s="9" t="s">
        <v>47</v>
      </c>
      <c r="H34" s="8" t="s">
        <v>17</v>
      </c>
    </row>
    <row r="35" spans="1:8" ht="28.8" x14ac:dyDescent="0.3">
      <c r="A35" s="6">
        <v>12</v>
      </c>
      <c r="B35" s="7" t="s">
        <v>86</v>
      </c>
      <c r="C35" s="6">
        <v>3</v>
      </c>
      <c r="D35" s="6" t="s">
        <v>13</v>
      </c>
      <c r="E35" s="6" t="s">
        <v>14</v>
      </c>
      <c r="F35" s="8" t="s">
        <v>92</v>
      </c>
      <c r="G35" s="9" t="s">
        <v>47</v>
      </c>
      <c r="H35" s="9" t="s">
        <v>48</v>
      </c>
    </row>
    <row r="36" spans="1:8" x14ac:dyDescent="0.3">
      <c r="A36" s="6">
        <v>12</v>
      </c>
      <c r="B36" s="7" t="s">
        <v>86</v>
      </c>
      <c r="C36" s="6">
        <v>3</v>
      </c>
      <c r="D36" s="6" t="s">
        <v>13</v>
      </c>
      <c r="E36" s="6" t="s">
        <v>14</v>
      </c>
      <c r="F36" s="8" t="s">
        <v>93</v>
      </c>
      <c r="G36" s="9" t="s">
        <v>47</v>
      </c>
      <c r="H36" s="9" t="s">
        <v>48</v>
      </c>
    </row>
    <row r="37" spans="1:8" ht="28.8" x14ac:dyDescent="0.3">
      <c r="A37" s="6">
        <v>12</v>
      </c>
      <c r="B37" s="7" t="s">
        <v>86</v>
      </c>
      <c r="C37" s="6">
        <v>3</v>
      </c>
      <c r="D37" s="6" t="s">
        <v>13</v>
      </c>
      <c r="E37" s="6" t="s">
        <v>14</v>
      </c>
      <c r="F37" s="8" t="s">
        <v>94</v>
      </c>
      <c r="G37" s="9" t="s">
        <v>47</v>
      </c>
      <c r="H37" s="9" t="s">
        <v>48</v>
      </c>
    </row>
    <row r="38" spans="1:8" ht="28.8" x14ac:dyDescent="0.3">
      <c r="A38" s="6">
        <v>12</v>
      </c>
      <c r="B38" s="7" t="s">
        <v>86</v>
      </c>
      <c r="C38" s="6">
        <v>3</v>
      </c>
      <c r="D38" s="6" t="s">
        <v>13</v>
      </c>
      <c r="E38" s="6" t="s">
        <v>14</v>
      </c>
      <c r="F38" s="8" t="s">
        <v>95</v>
      </c>
      <c r="G38" s="9" t="s">
        <v>47</v>
      </c>
      <c r="H38" s="8" t="s">
        <v>17</v>
      </c>
    </row>
    <row r="39" spans="1:8" ht="28.8" x14ac:dyDescent="0.3">
      <c r="A39" s="6">
        <v>12</v>
      </c>
      <c r="B39" s="7" t="s">
        <v>86</v>
      </c>
      <c r="C39" s="6">
        <v>3</v>
      </c>
      <c r="D39" s="6" t="s">
        <v>13</v>
      </c>
      <c r="E39" s="6" t="s">
        <v>14</v>
      </c>
      <c r="F39" s="9" t="s">
        <v>96</v>
      </c>
      <c r="G39" s="9" t="s">
        <v>47</v>
      </c>
      <c r="H39" s="8" t="s">
        <v>17</v>
      </c>
    </row>
    <row r="40" spans="1:8" ht="28.8" x14ac:dyDescent="0.3">
      <c r="A40" s="6">
        <v>13</v>
      </c>
      <c r="B40" s="7" t="s">
        <v>97</v>
      </c>
      <c r="C40" s="6">
        <v>4</v>
      </c>
      <c r="D40" s="6" t="s">
        <v>13</v>
      </c>
      <c r="E40" s="6" t="s">
        <v>14</v>
      </c>
      <c r="F40" s="8" t="s">
        <v>98</v>
      </c>
      <c r="G40" s="9" t="s">
        <v>47</v>
      </c>
      <c r="H40" s="8" t="s">
        <v>17</v>
      </c>
    </row>
    <row r="41" spans="1:8" ht="28.8" x14ac:dyDescent="0.3">
      <c r="A41" s="6">
        <v>13</v>
      </c>
      <c r="B41" s="7" t="s">
        <v>97</v>
      </c>
      <c r="C41" s="6">
        <v>4</v>
      </c>
      <c r="D41" s="6" t="s">
        <v>13</v>
      </c>
      <c r="E41" s="6" t="s">
        <v>14</v>
      </c>
      <c r="F41" s="8" t="s">
        <v>99</v>
      </c>
      <c r="G41" s="9" t="s">
        <v>47</v>
      </c>
      <c r="H41" s="8" t="s">
        <v>17</v>
      </c>
    </row>
    <row r="42" spans="1:8" ht="28.8" x14ac:dyDescent="0.3">
      <c r="A42" s="6">
        <v>13</v>
      </c>
      <c r="B42" s="7" t="s">
        <v>97</v>
      </c>
      <c r="C42" s="6">
        <v>4</v>
      </c>
      <c r="D42" s="6" t="s">
        <v>13</v>
      </c>
      <c r="E42" s="6" t="s">
        <v>14</v>
      </c>
      <c r="F42" s="8" t="s">
        <v>100</v>
      </c>
      <c r="G42" s="9" t="s">
        <v>47</v>
      </c>
      <c r="H42" s="8" t="s">
        <v>17</v>
      </c>
    </row>
    <row r="43" spans="1:8" ht="28.8" x14ac:dyDescent="0.3">
      <c r="A43" s="6">
        <v>13</v>
      </c>
      <c r="B43" s="7" t="s">
        <v>97</v>
      </c>
      <c r="C43" s="6">
        <v>4</v>
      </c>
      <c r="D43" s="6" t="s">
        <v>13</v>
      </c>
      <c r="E43" s="6" t="s">
        <v>14</v>
      </c>
      <c r="F43" s="8" t="s">
        <v>101</v>
      </c>
      <c r="G43" s="9" t="s">
        <v>47</v>
      </c>
      <c r="H43" s="9" t="s">
        <v>48</v>
      </c>
    </row>
    <row r="44" spans="1:8" ht="28.8" x14ac:dyDescent="0.3">
      <c r="A44" s="6">
        <v>13</v>
      </c>
      <c r="B44" s="7" t="s">
        <v>97</v>
      </c>
      <c r="C44" s="6">
        <v>4</v>
      </c>
      <c r="D44" s="6" t="s">
        <v>13</v>
      </c>
      <c r="E44" s="6" t="s">
        <v>14</v>
      </c>
      <c r="F44" s="8" t="s">
        <v>102</v>
      </c>
      <c r="G44" s="9" t="s">
        <v>47</v>
      </c>
      <c r="H44" s="9" t="s">
        <v>48</v>
      </c>
    </row>
    <row r="45" spans="1:8" ht="28.8" x14ac:dyDescent="0.3">
      <c r="A45" s="6">
        <v>14</v>
      </c>
      <c r="B45" s="7" t="s">
        <v>103</v>
      </c>
      <c r="C45" s="6">
        <v>4</v>
      </c>
      <c r="D45" s="6" t="s">
        <v>13</v>
      </c>
      <c r="E45" s="6" t="s">
        <v>14</v>
      </c>
      <c r="F45" s="8" t="s">
        <v>104</v>
      </c>
      <c r="G45" s="9" t="s">
        <v>47</v>
      </c>
      <c r="H45" s="8" t="s">
        <v>17</v>
      </c>
    </row>
    <row r="46" spans="1:8" ht="28.8" x14ac:dyDescent="0.3">
      <c r="A46" s="6">
        <v>14</v>
      </c>
      <c r="B46" s="7" t="s">
        <v>103</v>
      </c>
      <c r="C46" s="6">
        <v>4</v>
      </c>
      <c r="D46" s="6" t="s">
        <v>13</v>
      </c>
      <c r="E46" s="6" t="s">
        <v>14</v>
      </c>
      <c r="F46" s="8" t="s">
        <v>105</v>
      </c>
      <c r="G46" s="9" t="s">
        <v>47</v>
      </c>
      <c r="H46" s="8" t="s">
        <v>17</v>
      </c>
    </row>
    <row r="47" spans="1:8" ht="28.8" x14ac:dyDescent="0.3">
      <c r="A47" s="6">
        <v>14</v>
      </c>
      <c r="B47" s="7" t="s">
        <v>103</v>
      </c>
      <c r="C47" s="6">
        <v>4</v>
      </c>
      <c r="D47" s="6" t="s">
        <v>13</v>
      </c>
      <c r="E47" s="6" t="s">
        <v>14</v>
      </c>
      <c r="F47" s="8" t="s">
        <v>106</v>
      </c>
      <c r="G47" s="9" t="s">
        <v>47</v>
      </c>
      <c r="H47" s="8" t="s">
        <v>17</v>
      </c>
    </row>
    <row r="48" spans="1:8" ht="28.8" x14ac:dyDescent="0.3">
      <c r="A48" s="6">
        <v>14</v>
      </c>
      <c r="B48" s="7" t="s">
        <v>103</v>
      </c>
      <c r="C48" s="6">
        <v>4</v>
      </c>
      <c r="D48" s="6" t="s">
        <v>13</v>
      </c>
      <c r="E48" s="6" t="s">
        <v>14</v>
      </c>
      <c r="F48" s="8" t="s">
        <v>107</v>
      </c>
      <c r="G48" s="9" t="s">
        <v>47</v>
      </c>
      <c r="H48" s="8" t="s">
        <v>17</v>
      </c>
    </row>
    <row r="49" spans="1:8" x14ac:dyDescent="0.3">
      <c r="A49" s="13">
        <v>14</v>
      </c>
      <c r="B49" s="14" t="s">
        <v>103</v>
      </c>
      <c r="C49" s="13">
        <v>4</v>
      </c>
      <c r="D49" s="13" t="s">
        <v>13</v>
      </c>
      <c r="E49" s="6" t="s">
        <v>14</v>
      </c>
      <c r="F49" s="15" t="s">
        <v>108</v>
      </c>
      <c r="G49" s="16" t="s">
        <v>47</v>
      </c>
      <c r="H49" s="16" t="s">
        <v>109</v>
      </c>
    </row>
    <row r="50" spans="1:8" ht="28.8" x14ac:dyDescent="0.3">
      <c r="A50" s="6">
        <v>15</v>
      </c>
      <c r="B50" s="7" t="s">
        <v>110</v>
      </c>
      <c r="C50" s="6">
        <v>5.6</v>
      </c>
      <c r="D50" s="6" t="s">
        <v>13</v>
      </c>
      <c r="E50" s="6" t="s">
        <v>14</v>
      </c>
      <c r="F50" s="8" t="s">
        <v>111</v>
      </c>
      <c r="G50" s="9" t="s">
        <v>112</v>
      </c>
      <c r="H50" s="8" t="s">
        <v>17</v>
      </c>
    </row>
    <row r="51" spans="1:8" ht="28.8" x14ac:dyDescent="0.3">
      <c r="A51" s="6">
        <v>16</v>
      </c>
      <c r="B51" s="7" t="s">
        <v>113</v>
      </c>
      <c r="C51" s="6">
        <v>7.8</v>
      </c>
      <c r="D51" s="6" t="s">
        <v>13</v>
      </c>
      <c r="E51" s="6" t="s">
        <v>14</v>
      </c>
      <c r="F51" s="8" t="s">
        <v>114</v>
      </c>
      <c r="G51" s="9" t="s">
        <v>112</v>
      </c>
      <c r="H51" s="8" t="s">
        <v>17</v>
      </c>
    </row>
    <row r="52" spans="1:8" ht="28.8" x14ac:dyDescent="0.3">
      <c r="A52" s="6">
        <v>16</v>
      </c>
      <c r="B52" s="7" t="s">
        <v>113</v>
      </c>
      <c r="C52" s="6">
        <v>7.8</v>
      </c>
      <c r="D52" s="6" t="s">
        <v>13</v>
      </c>
      <c r="E52" s="6" t="s">
        <v>14</v>
      </c>
      <c r="F52" s="8" t="s">
        <v>115</v>
      </c>
      <c r="G52" s="9" t="s">
        <v>47</v>
      </c>
      <c r="H52" s="9" t="s">
        <v>48</v>
      </c>
    </row>
    <row r="53" spans="1:8" ht="28.8" x14ac:dyDescent="0.3">
      <c r="A53" s="6">
        <v>16</v>
      </c>
      <c r="B53" s="7" t="s">
        <v>113</v>
      </c>
      <c r="C53" s="6">
        <v>7.8</v>
      </c>
      <c r="D53" s="6" t="s">
        <v>13</v>
      </c>
      <c r="E53" s="6" t="s">
        <v>14</v>
      </c>
      <c r="F53" s="8" t="s">
        <v>116</v>
      </c>
      <c r="G53" s="9" t="s">
        <v>47</v>
      </c>
      <c r="H53" s="9" t="s">
        <v>48</v>
      </c>
    </row>
    <row r="54" spans="1:8" ht="28.8" x14ac:dyDescent="0.3">
      <c r="A54" s="6">
        <v>16</v>
      </c>
      <c r="B54" s="7" t="s">
        <v>113</v>
      </c>
      <c r="C54" s="6">
        <v>7.8</v>
      </c>
      <c r="D54" s="6" t="s">
        <v>13</v>
      </c>
      <c r="E54" s="6" t="s">
        <v>14</v>
      </c>
      <c r="F54" s="8" t="s">
        <v>117</v>
      </c>
      <c r="G54" s="9" t="s">
        <v>47</v>
      </c>
      <c r="H54" s="9" t="s">
        <v>48</v>
      </c>
    </row>
    <row r="55" spans="1:8" ht="28.8" x14ac:dyDescent="0.3">
      <c r="A55" s="6">
        <v>16</v>
      </c>
      <c r="B55" s="7" t="s">
        <v>113</v>
      </c>
      <c r="C55" s="6">
        <v>7.8</v>
      </c>
      <c r="D55" s="6" t="s">
        <v>13</v>
      </c>
      <c r="E55" s="6" t="s">
        <v>14</v>
      </c>
      <c r="F55" s="8" t="s">
        <v>118</v>
      </c>
      <c r="G55" s="9" t="s">
        <v>47</v>
      </c>
      <c r="H55" s="9" t="s">
        <v>48</v>
      </c>
    </row>
    <row r="56" spans="1:8" ht="28.8" x14ac:dyDescent="0.3">
      <c r="A56" s="6">
        <v>16</v>
      </c>
      <c r="B56" s="7" t="s">
        <v>113</v>
      </c>
      <c r="C56" s="6">
        <v>7.8</v>
      </c>
      <c r="D56" s="6" t="s">
        <v>13</v>
      </c>
      <c r="E56" s="6" t="s">
        <v>14</v>
      </c>
      <c r="F56" s="8" t="s">
        <v>119</v>
      </c>
      <c r="G56" s="9" t="s">
        <v>47</v>
      </c>
      <c r="H56" s="9" t="s">
        <v>48</v>
      </c>
    </row>
    <row r="57" spans="1:8" ht="28.8" x14ac:dyDescent="0.3">
      <c r="A57" s="6">
        <v>16</v>
      </c>
      <c r="B57" s="7" t="s">
        <v>113</v>
      </c>
      <c r="C57" s="6">
        <v>7.8</v>
      </c>
      <c r="D57" s="6" t="s">
        <v>13</v>
      </c>
      <c r="E57" s="6" t="s">
        <v>14</v>
      </c>
      <c r="F57" s="8" t="s">
        <v>120</v>
      </c>
      <c r="G57" s="9" t="s">
        <v>112</v>
      </c>
      <c r="H57" s="8" t="s">
        <v>17</v>
      </c>
    </row>
    <row r="58" spans="1:8" ht="28.8" x14ac:dyDescent="0.3">
      <c r="A58" s="6">
        <v>17</v>
      </c>
      <c r="B58" s="7" t="s">
        <v>121</v>
      </c>
      <c r="C58" s="6" t="s">
        <v>122</v>
      </c>
      <c r="D58" s="6" t="s">
        <v>13</v>
      </c>
      <c r="E58" s="6" t="s">
        <v>14</v>
      </c>
      <c r="F58" s="8" t="s">
        <v>123</v>
      </c>
      <c r="G58" s="9" t="s">
        <v>112</v>
      </c>
      <c r="H58" s="8" t="s">
        <v>17</v>
      </c>
    </row>
    <row r="59" spans="1:8" ht="28.8" x14ac:dyDescent="0.3">
      <c r="A59" s="6">
        <v>17</v>
      </c>
      <c r="B59" s="7" t="s">
        <v>121</v>
      </c>
      <c r="C59" s="6" t="s">
        <v>122</v>
      </c>
      <c r="D59" s="6" t="s">
        <v>13</v>
      </c>
      <c r="E59" s="6" t="s">
        <v>14</v>
      </c>
      <c r="F59" s="8" t="s">
        <v>115</v>
      </c>
      <c r="G59" s="9" t="s">
        <v>47</v>
      </c>
      <c r="H59" s="9" t="s">
        <v>48</v>
      </c>
    </row>
    <row r="60" spans="1:8" ht="28.8" x14ac:dyDescent="0.3">
      <c r="A60" s="6">
        <v>17</v>
      </c>
      <c r="B60" s="7" t="s">
        <v>121</v>
      </c>
      <c r="C60" s="6" t="s">
        <v>122</v>
      </c>
      <c r="D60" s="6" t="s">
        <v>13</v>
      </c>
      <c r="E60" s="6" t="s">
        <v>14</v>
      </c>
      <c r="F60" s="8" t="s">
        <v>124</v>
      </c>
      <c r="G60" s="9" t="s">
        <v>47</v>
      </c>
      <c r="H60" s="9" t="s">
        <v>48</v>
      </c>
    </row>
    <row r="61" spans="1:8" ht="28.8" x14ac:dyDescent="0.3">
      <c r="A61" s="6">
        <v>17</v>
      </c>
      <c r="B61" s="7" t="s">
        <v>121</v>
      </c>
      <c r="C61" s="6" t="s">
        <v>122</v>
      </c>
      <c r="D61" s="6" t="s">
        <v>13</v>
      </c>
      <c r="E61" s="6" t="s">
        <v>14</v>
      </c>
      <c r="F61" s="8" t="s">
        <v>125</v>
      </c>
      <c r="G61" s="9" t="s">
        <v>47</v>
      </c>
      <c r="H61" s="9" t="s">
        <v>48</v>
      </c>
    </row>
    <row r="62" spans="1:8" ht="28.8" x14ac:dyDescent="0.3">
      <c r="A62" s="6">
        <v>17</v>
      </c>
      <c r="B62" s="7" t="s">
        <v>121</v>
      </c>
      <c r="C62" s="6" t="s">
        <v>122</v>
      </c>
      <c r="D62" s="6" t="s">
        <v>13</v>
      </c>
      <c r="E62" s="6" t="s">
        <v>14</v>
      </c>
      <c r="F62" s="8" t="s">
        <v>126</v>
      </c>
      <c r="G62" s="9" t="s">
        <v>47</v>
      </c>
      <c r="H62" s="9" t="s">
        <v>48</v>
      </c>
    </row>
    <row r="63" spans="1:8" ht="28.8" x14ac:dyDescent="0.3">
      <c r="A63" s="6">
        <v>17</v>
      </c>
      <c r="B63" s="7" t="s">
        <v>121</v>
      </c>
      <c r="C63" s="6" t="s">
        <v>122</v>
      </c>
      <c r="D63" s="6" t="s">
        <v>13</v>
      </c>
      <c r="E63" s="6" t="s">
        <v>14</v>
      </c>
      <c r="F63" s="8" t="s">
        <v>127</v>
      </c>
      <c r="G63" s="9" t="s">
        <v>47</v>
      </c>
      <c r="H63" s="8" t="s">
        <v>128</v>
      </c>
    </row>
    <row r="64" spans="1:8" ht="28.8" x14ac:dyDescent="0.3">
      <c r="A64" s="6">
        <v>17</v>
      </c>
      <c r="B64" s="7" t="s">
        <v>121</v>
      </c>
      <c r="C64" s="6" t="s">
        <v>122</v>
      </c>
      <c r="D64" s="6" t="s">
        <v>13</v>
      </c>
      <c r="E64" s="6" t="s">
        <v>14</v>
      </c>
      <c r="F64" s="8" t="s">
        <v>129</v>
      </c>
      <c r="G64" s="9" t="s">
        <v>47</v>
      </c>
      <c r="H64" s="8" t="s">
        <v>128</v>
      </c>
    </row>
    <row r="65" spans="1:8" ht="28.8" x14ac:dyDescent="0.3">
      <c r="A65" s="6">
        <v>17</v>
      </c>
      <c r="B65" s="7" t="s">
        <v>121</v>
      </c>
      <c r="C65" s="6" t="s">
        <v>122</v>
      </c>
      <c r="D65" s="6" t="s">
        <v>13</v>
      </c>
      <c r="E65" s="6" t="s">
        <v>14</v>
      </c>
      <c r="F65" s="8" t="s">
        <v>130</v>
      </c>
      <c r="G65" s="9" t="s">
        <v>47</v>
      </c>
      <c r="H65" s="8" t="s">
        <v>128</v>
      </c>
    </row>
    <row r="66" spans="1:8" ht="28.8" x14ac:dyDescent="0.3">
      <c r="A66" s="6">
        <v>18</v>
      </c>
      <c r="B66" s="7" t="s">
        <v>131</v>
      </c>
      <c r="C66" s="6">
        <v>11</v>
      </c>
      <c r="D66" s="6" t="s">
        <v>13</v>
      </c>
      <c r="E66" s="6" t="s">
        <v>14</v>
      </c>
      <c r="F66" s="8" t="s">
        <v>132</v>
      </c>
      <c r="G66" s="9" t="s">
        <v>133</v>
      </c>
      <c r="H66" s="8" t="s">
        <v>128</v>
      </c>
    </row>
    <row r="67" spans="1:8" ht="28.8" x14ac:dyDescent="0.3">
      <c r="A67" s="6">
        <v>18</v>
      </c>
      <c r="B67" s="7" t="s">
        <v>131</v>
      </c>
      <c r="C67" s="6">
        <v>11</v>
      </c>
      <c r="D67" s="6" t="s">
        <v>13</v>
      </c>
      <c r="E67" s="6" t="s">
        <v>14</v>
      </c>
      <c r="F67" s="8" t="s">
        <v>134</v>
      </c>
      <c r="G67" s="9" t="s">
        <v>133</v>
      </c>
      <c r="H67" s="8" t="s">
        <v>17</v>
      </c>
    </row>
    <row r="68" spans="1:8" ht="28.8" x14ac:dyDescent="0.3">
      <c r="A68" s="6">
        <v>18</v>
      </c>
      <c r="B68" s="7" t="s">
        <v>131</v>
      </c>
      <c r="C68" s="6">
        <v>11</v>
      </c>
      <c r="D68" s="6" t="s">
        <v>13</v>
      </c>
      <c r="E68" s="6" t="s">
        <v>14</v>
      </c>
      <c r="F68" s="8" t="s">
        <v>135</v>
      </c>
      <c r="G68" s="9" t="s">
        <v>133</v>
      </c>
      <c r="H68" s="8" t="s">
        <v>17</v>
      </c>
    </row>
    <row r="69" spans="1:8" ht="28.8" x14ac:dyDescent="0.3">
      <c r="A69" s="6">
        <v>18</v>
      </c>
      <c r="B69" s="7" t="s">
        <v>131</v>
      </c>
      <c r="C69" s="6">
        <v>11</v>
      </c>
      <c r="D69" s="6" t="s">
        <v>13</v>
      </c>
      <c r="E69" s="6" t="s">
        <v>14</v>
      </c>
      <c r="F69" s="8" t="s">
        <v>136</v>
      </c>
      <c r="G69" s="9" t="s">
        <v>133</v>
      </c>
      <c r="H69" s="8" t="s">
        <v>17</v>
      </c>
    </row>
    <row r="70" spans="1:8" ht="28.8" x14ac:dyDescent="0.3">
      <c r="A70" s="6">
        <v>19</v>
      </c>
      <c r="B70" s="7" t="s">
        <v>137</v>
      </c>
      <c r="C70" s="6">
        <v>11</v>
      </c>
      <c r="D70" s="6" t="s">
        <v>13</v>
      </c>
      <c r="E70" s="6" t="s">
        <v>138</v>
      </c>
      <c r="F70" s="8" t="s">
        <v>139</v>
      </c>
      <c r="G70" s="9" t="s">
        <v>133</v>
      </c>
      <c r="H70" s="8" t="s">
        <v>140</v>
      </c>
    </row>
    <row r="71" spans="1:8" ht="28.8" x14ac:dyDescent="0.3">
      <c r="A71" s="6">
        <v>19</v>
      </c>
      <c r="B71" s="7" t="s">
        <v>137</v>
      </c>
      <c r="C71" s="6">
        <v>11</v>
      </c>
      <c r="D71" s="6" t="s">
        <v>13</v>
      </c>
      <c r="E71" s="6" t="s">
        <v>138</v>
      </c>
      <c r="F71" s="8" t="s">
        <v>141</v>
      </c>
      <c r="G71" s="9" t="s">
        <v>47</v>
      </c>
      <c r="H71" s="8" t="s">
        <v>17</v>
      </c>
    </row>
    <row r="72" spans="1:8" ht="28.8" x14ac:dyDescent="0.3">
      <c r="A72" s="6">
        <v>19</v>
      </c>
      <c r="B72" s="7" t="s">
        <v>137</v>
      </c>
      <c r="C72" s="6">
        <v>11</v>
      </c>
      <c r="D72" s="6" t="s">
        <v>13</v>
      </c>
      <c r="E72" s="6" t="s">
        <v>138</v>
      </c>
      <c r="F72" s="8" t="s">
        <v>142</v>
      </c>
      <c r="G72" s="9" t="s">
        <v>47</v>
      </c>
      <c r="H72" s="8" t="s">
        <v>17</v>
      </c>
    </row>
    <row r="73" spans="1:8" x14ac:dyDescent="0.3">
      <c r="A73" s="6">
        <v>19</v>
      </c>
      <c r="B73" s="7" t="s">
        <v>137</v>
      </c>
      <c r="C73" s="6">
        <v>11</v>
      </c>
      <c r="D73" s="6" t="s">
        <v>13</v>
      </c>
      <c r="E73" s="6" t="s">
        <v>138</v>
      </c>
      <c r="F73" s="8" t="s">
        <v>143</v>
      </c>
      <c r="G73" s="9" t="s">
        <v>47</v>
      </c>
      <c r="H73" s="9" t="s">
        <v>144</v>
      </c>
    </row>
    <row r="74" spans="1:8" ht="28.8" x14ac:dyDescent="0.3">
      <c r="A74" s="6">
        <v>19</v>
      </c>
      <c r="B74" s="7" t="s">
        <v>137</v>
      </c>
      <c r="C74" s="6">
        <v>11</v>
      </c>
      <c r="D74" s="6" t="s">
        <v>13</v>
      </c>
      <c r="E74" s="6" t="s">
        <v>138</v>
      </c>
      <c r="F74" s="8" t="s">
        <v>145</v>
      </c>
      <c r="G74" s="9" t="s">
        <v>47</v>
      </c>
      <c r="H74" s="9" t="s">
        <v>144</v>
      </c>
    </row>
    <row r="75" spans="1:8" ht="28.8" x14ac:dyDescent="0.3">
      <c r="A75" s="6">
        <v>19</v>
      </c>
      <c r="B75" s="7" t="s">
        <v>137</v>
      </c>
      <c r="C75" s="6">
        <v>11</v>
      </c>
      <c r="D75" s="6" t="s">
        <v>13</v>
      </c>
      <c r="E75" s="6" t="s">
        <v>138</v>
      </c>
      <c r="F75" s="8" t="s">
        <v>146</v>
      </c>
      <c r="G75" s="9" t="s">
        <v>133</v>
      </c>
      <c r="H75" s="8" t="s">
        <v>140</v>
      </c>
    </row>
    <row r="76" spans="1:8" ht="28.8" x14ac:dyDescent="0.3">
      <c r="A76" s="6">
        <v>19</v>
      </c>
      <c r="B76" s="7" t="s">
        <v>137</v>
      </c>
      <c r="C76" s="6">
        <v>11</v>
      </c>
      <c r="D76" s="6" t="s">
        <v>13</v>
      </c>
      <c r="E76" s="6" t="s">
        <v>138</v>
      </c>
      <c r="F76" s="8" t="s">
        <v>147</v>
      </c>
      <c r="G76" s="9" t="s">
        <v>133</v>
      </c>
      <c r="H76" s="8" t="s">
        <v>140</v>
      </c>
    </row>
    <row r="77" spans="1:8" ht="28.8" x14ac:dyDescent="0.3">
      <c r="A77" s="6">
        <v>19</v>
      </c>
      <c r="B77" s="7" t="s">
        <v>137</v>
      </c>
      <c r="C77" s="6">
        <v>11</v>
      </c>
      <c r="D77" s="6" t="s">
        <v>13</v>
      </c>
      <c r="E77" s="6" t="s">
        <v>138</v>
      </c>
      <c r="F77" s="8" t="s">
        <v>148</v>
      </c>
      <c r="G77" s="9" t="s">
        <v>47</v>
      </c>
      <c r="H77" s="9" t="s">
        <v>144</v>
      </c>
    </row>
    <row r="78" spans="1:8" ht="28.8" x14ac:dyDescent="0.3">
      <c r="A78" s="6">
        <v>19</v>
      </c>
      <c r="B78" s="7" t="s">
        <v>137</v>
      </c>
      <c r="C78" s="6">
        <v>11.12</v>
      </c>
      <c r="D78" s="6" t="s">
        <v>13</v>
      </c>
      <c r="E78" s="6" t="s">
        <v>138</v>
      </c>
      <c r="F78" s="8" t="s">
        <v>149</v>
      </c>
      <c r="G78" s="9" t="s">
        <v>133</v>
      </c>
      <c r="H78" s="8" t="s">
        <v>17</v>
      </c>
    </row>
    <row r="79" spans="1:8" ht="28.8" x14ac:dyDescent="0.3">
      <c r="A79" s="6">
        <v>19</v>
      </c>
      <c r="B79" s="7" t="s">
        <v>137</v>
      </c>
      <c r="C79" s="6">
        <v>11.12</v>
      </c>
      <c r="D79" s="6" t="s">
        <v>13</v>
      </c>
      <c r="E79" s="6" t="s">
        <v>138</v>
      </c>
      <c r="F79" s="8" t="s">
        <v>150</v>
      </c>
      <c r="G79" s="9" t="s">
        <v>133</v>
      </c>
      <c r="H79" s="8" t="s">
        <v>17</v>
      </c>
    </row>
    <row r="80" spans="1:8" ht="43.2" x14ac:dyDescent="0.3">
      <c r="A80" s="6">
        <v>19</v>
      </c>
      <c r="B80" s="7" t="s">
        <v>137</v>
      </c>
      <c r="C80" s="6">
        <v>11.12</v>
      </c>
      <c r="D80" s="6" t="s">
        <v>13</v>
      </c>
      <c r="E80" s="6" t="s">
        <v>138</v>
      </c>
      <c r="F80" s="8" t="s">
        <v>151</v>
      </c>
      <c r="G80" s="9" t="s">
        <v>47</v>
      </c>
      <c r="H80" s="8" t="s">
        <v>17</v>
      </c>
    </row>
    <row r="81" spans="1:8" ht="28.8" x14ac:dyDescent="0.3">
      <c r="A81" s="13">
        <v>19</v>
      </c>
      <c r="B81" s="14" t="s">
        <v>137</v>
      </c>
      <c r="C81" s="13">
        <v>11.12</v>
      </c>
      <c r="D81" s="13" t="s">
        <v>13</v>
      </c>
      <c r="E81" s="13" t="s">
        <v>138</v>
      </c>
      <c r="F81" s="15" t="s">
        <v>152</v>
      </c>
      <c r="G81" s="16" t="s">
        <v>47</v>
      </c>
      <c r="H81" s="16" t="s">
        <v>109</v>
      </c>
    </row>
    <row r="82" spans="1:8" ht="28.8" x14ac:dyDescent="0.3">
      <c r="A82" s="6">
        <v>19</v>
      </c>
      <c r="B82" s="7" t="s">
        <v>137</v>
      </c>
      <c r="C82" s="6">
        <v>11.12</v>
      </c>
      <c r="D82" s="6" t="s">
        <v>13</v>
      </c>
      <c r="E82" s="6" t="s">
        <v>138</v>
      </c>
      <c r="F82" s="8" t="s">
        <v>153</v>
      </c>
      <c r="G82" s="9" t="s">
        <v>133</v>
      </c>
      <c r="H82" s="8" t="s">
        <v>17</v>
      </c>
    </row>
    <row r="83" spans="1:8" ht="43.2" x14ac:dyDescent="0.3">
      <c r="A83" s="6">
        <v>19</v>
      </c>
      <c r="B83" s="7" t="s">
        <v>137</v>
      </c>
      <c r="C83" s="6">
        <v>11.12</v>
      </c>
      <c r="D83" s="6" t="s">
        <v>13</v>
      </c>
      <c r="E83" s="6" t="s">
        <v>138</v>
      </c>
      <c r="F83" s="8" t="s">
        <v>154</v>
      </c>
      <c r="G83" s="9" t="s">
        <v>133</v>
      </c>
      <c r="H83" s="8" t="s">
        <v>17</v>
      </c>
    </row>
    <row r="84" spans="1:8" ht="28.8" x14ac:dyDescent="0.3">
      <c r="A84" s="6">
        <v>19</v>
      </c>
      <c r="B84" s="7" t="s">
        <v>137</v>
      </c>
      <c r="C84" s="6">
        <v>11.12</v>
      </c>
      <c r="D84" s="6" t="s">
        <v>13</v>
      </c>
      <c r="E84" s="6" t="s">
        <v>138</v>
      </c>
      <c r="F84" s="8" t="s">
        <v>155</v>
      </c>
      <c r="G84" s="9" t="s">
        <v>133</v>
      </c>
      <c r="H84" s="8" t="s">
        <v>17</v>
      </c>
    </row>
    <row r="85" spans="1:8" ht="28.8" x14ac:dyDescent="0.3">
      <c r="A85" s="6">
        <v>19</v>
      </c>
      <c r="B85" s="7" t="s">
        <v>137</v>
      </c>
      <c r="C85" s="6">
        <v>11.12</v>
      </c>
      <c r="D85" s="6" t="s">
        <v>13</v>
      </c>
      <c r="E85" s="6" t="s">
        <v>138</v>
      </c>
      <c r="F85" s="8" t="s">
        <v>156</v>
      </c>
      <c r="G85" s="9" t="s">
        <v>133</v>
      </c>
      <c r="H85" s="8" t="s">
        <v>17</v>
      </c>
    </row>
    <row r="86" spans="1:8" ht="28.8" x14ac:dyDescent="0.3">
      <c r="A86" s="6">
        <v>19</v>
      </c>
      <c r="B86" s="7" t="s">
        <v>137</v>
      </c>
      <c r="C86" s="6">
        <v>11.12</v>
      </c>
      <c r="D86" s="6" t="s">
        <v>13</v>
      </c>
      <c r="E86" s="6" t="s">
        <v>138</v>
      </c>
      <c r="F86" s="8" t="s">
        <v>157</v>
      </c>
      <c r="G86" s="9" t="s">
        <v>133</v>
      </c>
      <c r="H86" s="8" t="s">
        <v>26</v>
      </c>
    </row>
    <row r="87" spans="1:8" ht="28.8" x14ac:dyDescent="0.3">
      <c r="A87" s="6">
        <v>19</v>
      </c>
      <c r="B87" s="7" t="s">
        <v>137</v>
      </c>
      <c r="C87" s="6">
        <v>11.12</v>
      </c>
      <c r="D87" s="6" t="s">
        <v>13</v>
      </c>
      <c r="E87" s="6" t="s">
        <v>138</v>
      </c>
      <c r="F87" s="8" t="s">
        <v>158</v>
      </c>
      <c r="G87" s="9" t="s">
        <v>133</v>
      </c>
      <c r="H87" s="8" t="s">
        <v>26</v>
      </c>
    </row>
    <row r="88" spans="1:8" ht="28.8" x14ac:dyDescent="0.3">
      <c r="A88" s="6">
        <v>20</v>
      </c>
      <c r="B88" s="7" t="s">
        <v>159</v>
      </c>
      <c r="C88" s="6">
        <v>12</v>
      </c>
      <c r="D88" s="6" t="s">
        <v>13</v>
      </c>
      <c r="E88" s="6" t="s">
        <v>138</v>
      </c>
      <c r="F88" s="8" t="s">
        <v>160</v>
      </c>
      <c r="G88" s="9" t="s">
        <v>47</v>
      </c>
      <c r="H88" s="8" t="s">
        <v>17</v>
      </c>
    </row>
    <row r="89" spans="1:8" ht="28.8" x14ac:dyDescent="0.3">
      <c r="A89" s="6">
        <v>20</v>
      </c>
      <c r="B89" s="7" t="s">
        <v>159</v>
      </c>
      <c r="C89" s="6">
        <v>12</v>
      </c>
      <c r="D89" s="6" t="s">
        <v>13</v>
      </c>
      <c r="E89" s="6" t="s">
        <v>138</v>
      </c>
      <c r="F89" s="8" t="s">
        <v>161</v>
      </c>
      <c r="G89" s="9" t="s">
        <v>47</v>
      </c>
      <c r="H89" s="8" t="s">
        <v>17</v>
      </c>
    </row>
    <row r="90" spans="1:8" ht="28.8" x14ac:dyDescent="0.3">
      <c r="A90" s="6">
        <v>20</v>
      </c>
      <c r="B90" s="7" t="s">
        <v>159</v>
      </c>
      <c r="C90" s="6">
        <v>12</v>
      </c>
      <c r="D90" s="6" t="s">
        <v>13</v>
      </c>
      <c r="E90" s="6" t="s">
        <v>138</v>
      </c>
      <c r="F90" s="8" t="s">
        <v>162</v>
      </c>
      <c r="G90" s="9" t="s">
        <v>47</v>
      </c>
      <c r="H90" s="8" t="s">
        <v>17</v>
      </c>
    </row>
    <row r="91" spans="1:8" ht="28.8" x14ac:dyDescent="0.3">
      <c r="A91" s="6">
        <v>20</v>
      </c>
      <c r="B91" s="7" t="s">
        <v>159</v>
      </c>
      <c r="C91" s="6">
        <v>12</v>
      </c>
      <c r="D91" s="6" t="s">
        <v>13</v>
      </c>
      <c r="E91" s="6" t="s">
        <v>138</v>
      </c>
      <c r="F91" s="8" t="s">
        <v>163</v>
      </c>
      <c r="G91" s="9" t="s">
        <v>47</v>
      </c>
      <c r="H91" s="8" t="s">
        <v>164</v>
      </c>
    </row>
    <row r="92" spans="1:8" ht="28.8" x14ac:dyDescent="0.3">
      <c r="A92" s="6">
        <v>20</v>
      </c>
      <c r="B92" s="7" t="s">
        <v>159</v>
      </c>
      <c r="C92" s="6">
        <v>12</v>
      </c>
      <c r="D92" s="6" t="s">
        <v>13</v>
      </c>
      <c r="E92" s="6" t="s">
        <v>138</v>
      </c>
      <c r="F92" s="8" t="s">
        <v>165</v>
      </c>
      <c r="G92" s="9" t="s">
        <v>47</v>
      </c>
      <c r="H92" s="8" t="s">
        <v>17</v>
      </c>
    </row>
  </sheetData>
  <autoFilter ref="A1:H1" xr:uid="{00000000-0001-0000-0000-000000000000}"/>
  <mergeCells count="4">
    <mergeCell ref="Z1:AA1"/>
    <mergeCell ref="T1:U1"/>
    <mergeCell ref="W1:X1"/>
    <mergeCell ref="Q1:R1"/>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CFB01-8985-4051-A144-472F7859057C}">
  <dimension ref="A1:F40"/>
  <sheetViews>
    <sheetView showGridLines="0" zoomScale="73" workbookViewId="0">
      <pane ySplit="1" topLeftCell="A2" activePane="bottomLeft" state="frozen"/>
      <selection pane="bottomLeft" sqref="A1:XFD1"/>
    </sheetView>
  </sheetViews>
  <sheetFormatPr defaultColWidth="8.88671875" defaultRowHeight="14.4" x14ac:dyDescent="0.3"/>
  <cols>
    <col min="1" max="1" width="8.88671875" style="3"/>
    <col min="2" max="2" width="31.88671875" style="2" customWidth="1"/>
    <col min="3" max="3" width="17.5546875" style="3" customWidth="1"/>
    <col min="4" max="4" width="46.6640625" style="2" customWidth="1"/>
    <col min="5" max="5" width="51.44140625" style="2" customWidth="1"/>
    <col min="6" max="6" width="18.44140625" style="2" customWidth="1"/>
    <col min="7" max="16384" width="8.88671875" style="2"/>
  </cols>
  <sheetData>
    <row r="1" spans="1:6" ht="36" x14ac:dyDescent="0.3">
      <c r="A1" s="19" t="s">
        <v>0</v>
      </c>
      <c r="B1" s="19" t="s">
        <v>1</v>
      </c>
      <c r="C1" s="19" t="s">
        <v>2</v>
      </c>
      <c r="D1" s="19" t="s">
        <v>5</v>
      </c>
      <c r="E1" s="19" t="s">
        <v>375</v>
      </c>
      <c r="F1" s="19" t="s">
        <v>7</v>
      </c>
    </row>
    <row r="2" spans="1:6" ht="28.8" x14ac:dyDescent="0.3">
      <c r="A2" s="6">
        <f t="shared" ref="A2:A40" si="0">ROW() - ROW($A$2) + 1</f>
        <v>1</v>
      </c>
      <c r="B2" s="10" t="s">
        <v>167</v>
      </c>
      <c r="C2" s="6">
        <v>1</v>
      </c>
      <c r="D2" s="8" t="s">
        <v>32</v>
      </c>
      <c r="E2" s="8"/>
      <c r="F2" s="9" t="s">
        <v>168</v>
      </c>
    </row>
    <row r="3" spans="1:6" ht="43.2" x14ac:dyDescent="0.3">
      <c r="A3" s="6">
        <f t="shared" si="0"/>
        <v>2</v>
      </c>
      <c r="B3" s="20" t="s">
        <v>169</v>
      </c>
      <c r="C3" s="6">
        <v>2</v>
      </c>
      <c r="D3" s="7" t="s">
        <v>170</v>
      </c>
      <c r="E3" s="7"/>
      <c r="F3" s="9" t="s">
        <v>168</v>
      </c>
    </row>
    <row r="4" spans="1:6" ht="57.6" x14ac:dyDescent="0.3">
      <c r="A4" s="6">
        <f t="shared" si="0"/>
        <v>3</v>
      </c>
      <c r="B4" s="35" t="s">
        <v>171</v>
      </c>
      <c r="C4" s="6">
        <v>2</v>
      </c>
      <c r="D4" s="8" t="s">
        <v>172</v>
      </c>
      <c r="E4" s="9"/>
      <c r="F4" s="9" t="s">
        <v>168</v>
      </c>
    </row>
    <row r="5" spans="1:6" ht="57.6" x14ac:dyDescent="0.3">
      <c r="A5" s="6">
        <f t="shared" si="0"/>
        <v>4</v>
      </c>
      <c r="B5" s="35"/>
      <c r="C5" s="6">
        <v>2.2999999999999998</v>
      </c>
      <c r="D5" s="8" t="s">
        <v>173</v>
      </c>
      <c r="E5" s="9"/>
      <c r="F5" s="9" t="s">
        <v>168</v>
      </c>
    </row>
    <row r="6" spans="1:6" x14ac:dyDescent="0.3">
      <c r="A6" s="6">
        <f t="shared" si="0"/>
        <v>5</v>
      </c>
      <c r="B6" s="35" t="s">
        <v>174</v>
      </c>
      <c r="C6" s="6">
        <v>3</v>
      </c>
      <c r="D6" s="8" t="s">
        <v>175</v>
      </c>
      <c r="E6" s="9"/>
      <c r="F6" s="9" t="s">
        <v>168</v>
      </c>
    </row>
    <row r="7" spans="1:6" ht="28.8" x14ac:dyDescent="0.3">
      <c r="A7" s="6">
        <f t="shared" si="0"/>
        <v>6</v>
      </c>
      <c r="B7" s="35"/>
      <c r="C7" s="6">
        <v>3</v>
      </c>
      <c r="D7" s="8" t="s">
        <v>176</v>
      </c>
      <c r="E7" s="9"/>
      <c r="F7" s="9" t="s">
        <v>168</v>
      </c>
    </row>
    <row r="8" spans="1:6" ht="28.8" x14ac:dyDescent="0.3">
      <c r="A8" s="6">
        <f t="shared" si="0"/>
        <v>7</v>
      </c>
      <c r="B8" s="35"/>
      <c r="C8" s="6">
        <v>3</v>
      </c>
      <c r="D8" s="21" t="s">
        <v>177</v>
      </c>
      <c r="E8" s="9"/>
      <c r="F8" s="9" t="s">
        <v>178</v>
      </c>
    </row>
    <row r="9" spans="1:6" x14ac:dyDescent="0.3">
      <c r="A9" s="6">
        <f t="shared" si="0"/>
        <v>8</v>
      </c>
      <c r="B9" s="35"/>
      <c r="C9" s="6">
        <v>3</v>
      </c>
      <c r="D9" s="8" t="s">
        <v>179</v>
      </c>
      <c r="E9" s="9"/>
      <c r="F9" s="9" t="s">
        <v>168</v>
      </c>
    </row>
    <row r="10" spans="1:6" ht="28.8" x14ac:dyDescent="0.3">
      <c r="A10" s="6">
        <f t="shared" si="0"/>
        <v>9</v>
      </c>
      <c r="B10" s="35"/>
      <c r="C10" s="6">
        <v>3</v>
      </c>
      <c r="D10" s="8" t="s">
        <v>180</v>
      </c>
      <c r="E10" s="9"/>
      <c r="F10" s="9" t="s">
        <v>168</v>
      </c>
    </row>
    <row r="11" spans="1:6" ht="28.8" x14ac:dyDescent="0.3">
      <c r="A11" s="6">
        <f t="shared" si="0"/>
        <v>10</v>
      </c>
      <c r="B11" s="35"/>
      <c r="C11" s="6">
        <v>3</v>
      </c>
      <c r="D11" s="21" t="s">
        <v>181</v>
      </c>
      <c r="E11" s="9"/>
      <c r="F11" s="9" t="s">
        <v>178</v>
      </c>
    </row>
    <row r="12" spans="1:6" x14ac:dyDescent="0.3">
      <c r="A12" s="6">
        <f t="shared" si="0"/>
        <v>11</v>
      </c>
      <c r="B12" s="35"/>
      <c r="C12" s="6">
        <v>3</v>
      </c>
      <c r="D12" s="8" t="s">
        <v>182</v>
      </c>
      <c r="E12" s="9"/>
      <c r="F12" s="9" t="s">
        <v>168</v>
      </c>
    </row>
    <row r="13" spans="1:6" ht="28.8" x14ac:dyDescent="0.3">
      <c r="A13" s="6">
        <f t="shared" si="0"/>
        <v>12</v>
      </c>
      <c r="B13" s="35"/>
      <c r="C13" s="6">
        <v>3</v>
      </c>
      <c r="D13" s="8" t="s">
        <v>183</v>
      </c>
      <c r="E13" s="9"/>
      <c r="F13" s="9" t="s">
        <v>168</v>
      </c>
    </row>
    <row r="14" spans="1:6" ht="28.8" x14ac:dyDescent="0.3">
      <c r="A14" s="6">
        <f t="shared" si="0"/>
        <v>13</v>
      </c>
      <c r="B14" s="35"/>
      <c r="C14" s="6">
        <v>3</v>
      </c>
      <c r="D14" s="21" t="s">
        <v>184</v>
      </c>
      <c r="E14" s="9"/>
      <c r="F14" s="9" t="s">
        <v>178</v>
      </c>
    </row>
    <row r="15" spans="1:6" x14ac:dyDescent="0.3">
      <c r="A15" s="6">
        <f t="shared" si="0"/>
        <v>14</v>
      </c>
      <c r="B15" s="35"/>
      <c r="C15" s="6">
        <v>3</v>
      </c>
      <c r="D15" s="8" t="s">
        <v>185</v>
      </c>
      <c r="E15" s="9"/>
      <c r="F15" s="9" t="s">
        <v>168</v>
      </c>
    </row>
    <row r="16" spans="1:6" ht="28.8" x14ac:dyDescent="0.3">
      <c r="A16" s="6">
        <f t="shared" si="0"/>
        <v>15</v>
      </c>
      <c r="B16" s="35"/>
      <c r="C16" s="6">
        <v>3</v>
      </c>
      <c r="D16" s="8" t="s">
        <v>186</v>
      </c>
      <c r="E16" s="9"/>
      <c r="F16" s="9" t="s">
        <v>168</v>
      </c>
    </row>
    <row r="17" spans="1:6" x14ac:dyDescent="0.3">
      <c r="A17" s="6">
        <f t="shared" si="0"/>
        <v>16</v>
      </c>
      <c r="B17" s="35"/>
      <c r="C17" s="6">
        <v>3</v>
      </c>
      <c r="D17" s="9" t="s">
        <v>187</v>
      </c>
      <c r="E17" s="9"/>
      <c r="F17" s="9" t="s">
        <v>168</v>
      </c>
    </row>
    <row r="18" spans="1:6" ht="28.8" x14ac:dyDescent="0.3">
      <c r="A18" s="6">
        <f t="shared" si="0"/>
        <v>17</v>
      </c>
      <c r="B18" s="35"/>
      <c r="C18" s="6">
        <v>3</v>
      </c>
      <c r="D18" s="8" t="s">
        <v>188</v>
      </c>
      <c r="E18" s="9"/>
      <c r="F18" s="9" t="s">
        <v>168</v>
      </c>
    </row>
    <row r="19" spans="1:6" ht="28.8" x14ac:dyDescent="0.3">
      <c r="A19" s="6">
        <f t="shared" si="0"/>
        <v>18</v>
      </c>
      <c r="B19" s="35"/>
      <c r="C19" s="6">
        <v>3</v>
      </c>
      <c r="D19" s="21" t="s">
        <v>189</v>
      </c>
      <c r="E19" s="9"/>
      <c r="F19" s="9" t="s">
        <v>178</v>
      </c>
    </row>
    <row r="20" spans="1:6" ht="28.8" x14ac:dyDescent="0.3">
      <c r="A20" s="6">
        <f t="shared" si="0"/>
        <v>19</v>
      </c>
      <c r="B20" s="35" t="s">
        <v>190</v>
      </c>
      <c r="C20" s="6">
        <v>3</v>
      </c>
      <c r="D20" s="8" t="s">
        <v>191</v>
      </c>
      <c r="E20" s="9"/>
      <c r="F20" s="9" t="s">
        <v>168</v>
      </c>
    </row>
    <row r="21" spans="1:6" ht="28.8" x14ac:dyDescent="0.3">
      <c r="A21" s="6">
        <f t="shared" si="0"/>
        <v>20</v>
      </c>
      <c r="B21" s="35"/>
      <c r="C21" s="6">
        <v>3</v>
      </c>
      <c r="D21" s="8" t="s">
        <v>192</v>
      </c>
      <c r="E21" s="9"/>
      <c r="F21" s="9" t="s">
        <v>168</v>
      </c>
    </row>
    <row r="22" spans="1:6" x14ac:dyDescent="0.3">
      <c r="A22" s="6">
        <f t="shared" si="0"/>
        <v>21</v>
      </c>
      <c r="B22" s="35"/>
      <c r="C22" s="6">
        <v>3</v>
      </c>
      <c r="D22" s="8" t="s">
        <v>193</v>
      </c>
      <c r="E22" s="9"/>
      <c r="F22" s="9" t="s">
        <v>168</v>
      </c>
    </row>
    <row r="23" spans="1:6" x14ac:dyDescent="0.3">
      <c r="A23" s="6">
        <f t="shared" si="0"/>
        <v>22</v>
      </c>
      <c r="B23" s="35"/>
      <c r="C23" s="6">
        <v>3</v>
      </c>
      <c r="D23" s="8" t="s">
        <v>194</v>
      </c>
      <c r="E23" s="9"/>
      <c r="F23" s="9" t="s">
        <v>168</v>
      </c>
    </row>
    <row r="24" spans="1:6" x14ac:dyDescent="0.3">
      <c r="A24" s="6">
        <f t="shared" si="0"/>
        <v>23</v>
      </c>
      <c r="B24" s="35"/>
      <c r="C24" s="6">
        <v>3</v>
      </c>
      <c r="D24" s="8" t="s">
        <v>195</v>
      </c>
      <c r="E24" s="9"/>
      <c r="F24" s="9" t="s">
        <v>168</v>
      </c>
    </row>
    <row r="25" spans="1:6" ht="28.8" x14ac:dyDescent="0.3">
      <c r="A25" s="6">
        <f t="shared" si="0"/>
        <v>24</v>
      </c>
      <c r="B25" s="35"/>
      <c r="C25" s="6">
        <v>3</v>
      </c>
      <c r="D25" s="8" t="s">
        <v>196</v>
      </c>
      <c r="E25" s="9"/>
      <c r="F25" s="9" t="s">
        <v>178</v>
      </c>
    </row>
    <row r="26" spans="1:6" ht="28.8" x14ac:dyDescent="0.3">
      <c r="A26" s="6">
        <f t="shared" si="0"/>
        <v>25</v>
      </c>
      <c r="B26" s="35"/>
      <c r="C26" s="6">
        <v>3</v>
      </c>
      <c r="D26" s="8" t="s">
        <v>197</v>
      </c>
      <c r="E26" s="9"/>
      <c r="F26" s="9" t="s">
        <v>168</v>
      </c>
    </row>
    <row r="27" spans="1:6" ht="28.8" x14ac:dyDescent="0.3">
      <c r="A27" s="6">
        <f t="shared" si="0"/>
        <v>26</v>
      </c>
      <c r="B27" s="35"/>
      <c r="C27" s="6">
        <v>3</v>
      </c>
      <c r="D27" s="8" t="s">
        <v>198</v>
      </c>
      <c r="E27" s="9"/>
      <c r="F27" s="9" t="s">
        <v>178</v>
      </c>
    </row>
    <row r="28" spans="1:6" x14ac:dyDescent="0.3">
      <c r="A28" s="6">
        <f t="shared" si="0"/>
        <v>27</v>
      </c>
      <c r="B28" s="35"/>
      <c r="C28" s="6">
        <v>4</v>
      </c>
      <c r="D28" s="8" t="s">
        <v>199</v>
      </c>
      <c r="E28" s="9"/>
      <c r="F28" s="9" t="s">
        <v>168</v>
      </c>
    </row>
    <row r="29" spans="1:6" ht="57.6" x14ac:dyDescent="0.3">
      <c r="A29" s="6">
        <f t="shared" si="0"/>
        <v>28</v>
      </c>
      <c r="B29" s="36" t="s">
        <v>200</v>
      </c>
      <c r="C29" s="6">
        <v>4</v>
      </c>
      <c r="D29" s="8" t="s">
        <v>201</v>
      </c>
      <c r="E29" s="9"/>
      <c r="F29" s="9" t="s">
        <v>168</v>
      </c>
    </row>
    <row r="30" spans="1:6" ht="57.6" x14ac:dyDescent="0.3">
      <c r="A30" s="6">
        <f t="shared" si="0"/>
        <v>29</v>
      </c>
      <c r="B30" s="36"/>
      <c r="C30" s="6">
        <v>4</v>
      </c>
      <c r="D30" s="8" t="s">
        <v>202</v>
      </c>
      <c r="E30" s="9"/>
      <c r="F30" s="9" t="s">
        <v>168</v>
      </c>
    </row>
    <row r="31" spans="1:6" ht="57.6" x14ac:dyDescent="0.3">
      <c r="A31" s="6">
        <f t="shared" si="0"/>
        <v>30</v>
      </c>
      <c r="B31" s="36"/>
      <c r="C31" s="6">
        <v>4</v>
      </c>
      <c r="D31" s="8" t="s">
        <v>203</v>
      </c>
      <c r="E31" s="9"/>
      <c r="F31" s="9" t="s">
        <v>168</v>
      </c>
    </row>
    <row r="32" spans="1:6" ht="43.2" x14ac:dyDescent="0.3">
      <c r="A32" s="6">
        <f t="shared" si="0"/>
        <v>31</v>
      </c>
      <c r="B32" s="36"/>
      <c r="C32" s="6">
        <v>4</v>
      </c>
      <c r="D32" s="8" t="s">
        <v>204</v>
      </c>
      <c r="E32" s="9"/>
      <c r="F32" s="9" t="s">
        <v>168</v>
      </c>
    </row>
    <row r="33" spans="1:6" ht="57.6" x14ac:dyDescent="0.3">
      <c r="A33" s="6">
        <f t="shared" si="0"/>
        <v>32</v>
      </c>
      <c r="B33" s="37" t="s">
        <v>205</v>
      </c>
      <c r="C33" s="6">
        <v>5</v>
      </c>
      <c r="D33" s="8" t="s">
        <v>206</v>
      </c>
      <c r="E33" s="9"/>
      <c r="F33" s="9" t="s">
        <v>168</v>
      </c>
    </row>
    <row r="34" spans="1:6" ht="57.6" x14ac:dyDescent="0.3">
      <c r="A34" s="6">
        <f t="shared" si="0"/>
        <v>33</v>
      </c>
      <c r="B34" s="37"/>
      <c r="C34" s="6">
        <v>5.6</v>
      </c>
      <c r="D34" s="8" t="s">
        <v>207</v>
      </c>
      <c r="E34" s="9"/>
      <c r="F34" s="9" t="s">
        <v>168</v>
      </c>
    </row>
    <row r="35" spans="1:6" ht="43.2" x14ac:dyDescent="0.3">
      <c r="A35" s="6">
        <f t="shared" si="0"/>
        <v>34</v>
      </c>
      <c r="B35" s="37"/>
      <c r="C35" s="6">
        <v>7.8</v>
      </c>
      <c r="D35" s="8" t="s">
        <v>208</v>
      </c>
      <c r="E35" s="9"/>
      <c r="F35" s="9" t="s">
        <v>168</v>
      </c>
    </row>
    <row r="36" spans="1:6" ht="43.2" x14ac:dyDescent="0.3">
      <c r="A36" s="6">
        <f t="shared" si="0"/>
        <v>35</v>
      </c>
      <c r="B36" s="37"/>
      <c r="C36" s="6">
        <v>7.8</v>
      </c>
      <c r="D36" s="8" t="s">
        <v>209</v>
      </c>
      <c r="E36" s="9"/>
      <c r="F36" s="9" t="s">
        <v>168</v>
      </c>
    </row>
    <row r="37" spans="1:6" ht="28.8" x14ac:dyDescent="0.3">
      <c r="A37" s="6">
        <f t="shared" si="0"/>
        <v>36</v>
      </c>
      <c r="B37" s="37"/>
      <c r="C37" s="6">
        <v>8</v>
      </c>
      <c r="D37" s="8" t="s">
        <v>210</v>
      </c>
      <c r="E37" s="9"/>
      <c r="F37" s="9" t="s">
        <v>168</v>
      </c>
    </row>
    <row r="38" spans="1:6" ht="43.2" x14ac:dyDescent="0.3">
      <c r="A38" s="6">
        <f t="shared" si="0"/>
        <v>37</v>
      </c>
      <c r="B38" s="37"/>
      <c r="C38" s="6" t="s">
        <v>122</v>
      </c>
      <c r="D38" s="8" t="s">
        <v>211</v>
      </c>
      <c r="E38" s="9"/>
      <c r="F38" s="9" t="s">
        <v>168</v>
      </c>
    </row>
    <row r="39" spans="1:6" ht="43.2" x14ac:dyDescent="0.3">
      <c r="A39" s="6">
        <f t="shared" si="0"/>
        <v>38</v>
      </c>
      <c r="B39" s="37"/>
      <c r="C39" s="6">
        <v>9</v>
      </c>
      <c r="D39" s="8" t="s">
        <v>212</v>
      </c>
      <c r="E39" s="9"/>
      <c r="F39" s="9" t="s">
        <v>168</v>
      </c>
    </row>
    <row r="40" spans="1:6" ht="28.8" x14ac:dyDescent="0.3">
      <c r="A40" s="6">
        <f t="shared" si="0"/>
        <v>39</v>
      </c>
      <c r="B40" s="37"/>
      <c r="C40" s="6">
        <v>10</v>
      </c>
      <c r="D40" s="8" t="s">
        <v>213</v>
      </c>
      <c r="E40" s="9"/>
      <c r="F40" s="9" t="s">
        <v>168</v>
      </c>
    </row>
  </sheetData>
  <autoFilter ref="A1:F1" xr:uid="{94CCFB01-8985-4051-A144-472F7859057C}"/>
  <mergeCells count="5">
    <mergeCell ref="B4:B5"/>
    <mergeCell ref="B6:B19"/>
    <mergeCell ref="B20:B28"/>
    <mergeCell ref="B29:B32"/>
    <mergeCell ref="B33:B4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A5CE-2E7D-459F-8F1C-038B6663EF0E}">
  <dimension ref="A1:G100"/>
  <sheetViews>
    <sheetView showGridLines="0" zoomScale="59" workbookViewId="0">
      <pane ySplit="1" topLeftCell="A2" activePane="bottomLeft" state="frozen"/>
      <selection pane="bottomLeft" sqref="A1:XFD1"/>
    </sheetView>
  </sheetViews>
  <sheetFormatPr defaultColWidth="8.88671875" defaultRowHeight="14.4" x14ac:dyDescent="0.3"/>
  <cols>
    <col min="1" max="1" width="8.88671875" style="3"/>
    <col min="2" max="2" width="56.88671875" style="2" bestFit="1" customWidth="1"/>
    <col min="3" max="3" width="17.5546875" style="3" customWidth="1"/>
    <col min="4" max="4" width="50" style="4" customWidth="1"/>
    <col min="5" max="5" width="74.6640625" style="2" bestFit="1" customWidth="1"/>
    <col min="6" max="6" width="25.88671875" style="2" bestFit="1" customWidth="1"/>
    <col min="7" max="7" width="52.6640625" style="2" customWidth="1"/>
    <col min="8" max="16384" width="8.88671875" style="2"/>
  </cols>
  <sheetData>
    <row r="1" spans="1:7" ht="36" x14ac:dyDescent="0.3">
      <c r="A1" s="19" t="s">
        <v>0</v>
      </c>
      <c r="B1" s="19" t="s">
        <v>1</v>
      </c>
      <c r="C1" s="19" t="s">
        <v>2</v>
      </c>
      <c r="D1" s="19" t="s">
        <v>5</v>
      </c>
      <c r="E1" s="19" t="s">
        <v>375</v>
      </c>
      <c r="F1" s="19" t="s">
        <v>7</v>
      </c>
      <c r="G1" s="19" t="s">
        <v>214</v>
      </c>
    </row>
    <row r="2" spans="1:7" ht="43.2" x14ac:dyDescent="0.3">
      <c r="A2" s="6">
        <v>1</v>
      </c>
      <c r="B2" s="36" t="s">
        <v>215</v>
      </c>
      <c r="C2" s="6">
        <v>1</v>
      </c>
      <c r="D2" s="8" t="s">
        <v>216</v>
      </c>
      <c r="E2" s="8" t="s">
        <v>217</v>
      </c>
      <c r="F2" s="9" t="s">
        <v>218</v>
      </c>
      <c r="G2" s="8" t="s">
        <v>219</v>
      </c>
    </row>
    <row r="3" spans="1:7" ht="57.6" x14ac:dyDescent="0.3">
      <c r="A3" s="6">
        <v>2</v>
      </c>
      <c r="B3" s="36"/>
      <c r="C3" s="6">
        <v>1</v>
      </c>
      <c r="D3" s="8" t="s">
        <v>220</v>
      </c>
      <c r="E3" s="8" t="s">
        <v>217</v>
      </c>
      <c r="F3" s="9" t="s">
        <v>218</v>
      </c>
      <c r="G3" s="8" t="s">
        <v>219</v>
      </c>
    </row>
    <row r="4" spans="1:7" ht="57.6" x14ac:dyDescent="0.3">
      <c r="A4" s="6">
        <v>3</v>
      </c>
      <c r="B4" s="36"/>
      <c r="C4" s="6">
        <v>1</v>
      </c>
      <c r="D4" s="8" t="s">
        <v>221</v>
      </c>
      <c r="E4" s="8" t="s">
        <v>222</v>
      </c>
      <c r="F4" s="9" t="s">
        <v>218</v>
      </c>
      <c r="G4" s="8" t="s">
        <v>219</v>
      </c>
    </row>
    <row r="5" spans="1:7" ht="57.6" x14ac:dyDescent="0.3">
      <c r="A5" s="6">
        <v>4</v>
      </c>
      <c r="B5" s="36"/>
      <c r="C5" s="6">
        <v>1</v>
      </c>
      <c r="D5" s="22" t="s">
        <v>223</v>
      </c>
      <c r="E5" s="8" t="s">
        <v>217</v>
      </c>
      <c r="F5" s="9" t="s">
        <v>218</v>
      </c>
      <c r="G5" s="8" t="s">
        <v>219</v>
      </c>
    </row>
    <row r="6" spans="1:7" ht="57.9" customHeight="1" x14ac:dyDescent="0.3">
      <c r="A6" s="6">
        <v>5</v>
      </c>
      <c r="B6" s="38" t="s">
        <v>224</v>
      </c>
      <c r="C6" s="6">
        <v>1</v>
      </c>
      <c r="D6" s="22" t="s">
        <v>225</v>
      </c>
      <c r="E6" s="8" t="s">
        <v>226</v>
      </c>
      <c r="F6" s="9" t="s">
        <v>227</v>
      </c>
      <c r="G6" s="9" t="s">
        <v>228</v>
      </c>
    </row>
    <row r="7" spans="1:7" ht="72" x14ac:dyDescent="0.3">
      <c r="A7" s="6">
        <v>6</v>
      </c>
      <c r="B7" s="38"/>
      <c r="C7" s="6">
        <v>1</v>
      </c>
      <c r="D7" s="22" t="s">
        <v>229</v>
      </c>
      <c r="E7" s="8" t="s">
        <v>226</v>
      </c>
      <c r="F7" s="9" t="s">
        <v>218</v>
      </c>
      <c r="G7" s="8" t="s">
        <v>219</v>
      </c>
    </row>
    <row r="8" spans="1:7" ht="43.2" x14ac:dyDescent="0.3">
      <c r="A8" s="6">
        <v>7</v>
      </c>
      <c r="B8" s="8" t="s">
        <v>230</v>
      </c>
      <c r="C8" s="6">
        <v>2</v>
      </c>
      <c r="D8" s="22" t="s">
        <v>231</v>
      </c>
      <c r="E8" s="8" t="s">
        <v>222</v>
      </c>
      <c r="F8" s="9" t="s">
        <v>232</v>
      </c>
      <c r="G8" s="11" t="s">
        <v>233</v>
      </c>
    </row>
    <row r="9" spans="1:7" ht="28.8" x14ac:dyDescent="0.3">
      <c r="A9" s="6">
        <v>8</v>
      </c>
      <c r="B9" s="9" t="s">
        <v>234</v>
      </c>
      <c r="C9" s="6">
        <v>2</v>
      </c>
      <c r="D9" s="22" t="s">
        <v>235</v>
      </c>
      <c r="E9" s="8" t="s">
        <v>222</v>
      </c>
      <c r="F9" s="9" t="s">
        <v>218</v>
      </c>
      <c r="G9" s="9"/>
    </row>
    <row r="10" spans="1:7" ht="28.8" x14ac:dyDescent="0.3">
      <c r="A10" s="6">
        <v>9</v>
      </c>
      <c r="B10" s="9" t="s">
        <v>236</v>
      </c>
      <c r="C10" s="6">
        <v>2</v>
      </c>
      <c r="D10" s="22" t="s">
        <v>237</v>
      </c>
      <c r="E10" s="8" t="s">
        <v>222</v>
      </c>
      <c r="F10" s="9" t="s">
        <v>232</v>
      </c>
      <c r="G10" s="9"/>
    </row>
    <row r="11" spans="1:7" ht="28.8" x14ac:dyDescent="0.3">
      <c r="A11" s="6"/>
      <c r="B11" s="9" t="s">
        <v>236</v>
      </c>
      <c r="C11" s="6">
        <v>2</v>
      </c>
      <c r="D11" s="22" t="s">
        <v>238</v>
      </c>
      <c r="E11" s="8" t="s">
        <v>222</v>
      </c>
      <c r="F11" s="9" t="s">
        <v>239</v>
      </c>
      <c r="G11" s="9"/>
    </row>
    <row r="12" spans="1:7" ht="28.8" x14ac:dyDescent="0.3">
      <c r="A12" s="6"/>
      <c r="B12" s="9" t="s">
        <v>236</v>
      </c>
      <c r="C12" s="6"/>
      <c r="D12" s="22" t="s">
        <v>240</v>
      </c>
      <c r="E12" s="8" t="s">
        <v>222</v>
      </c>
      <c r="F12" s="9" t="s">
        <v>239</v>
      </c>
      <c r="G12" s="9"/>
    </row>
    <row r="13" spans="1:7" ht="28.8" x14ac:dyDescent="0.3">
      <c r="A13" s="6">
        <v>10</v>
      </c>
      <c r="B13" s="9" t="s">
        <v>236</v>
      </c>
      <c r="C13" s="6">
        <v>2</v>
      </c>
      <c r="D13" s="22" t="s">
        <v>241</v>
      </c>
      <c r="E13" s="8" t="s">
        <v>222</v>
      </c>
      <c r="F13" s="9" t="s">
        <v>239</v>
      </c>
      <c r="G13" s="9"/>
    </row>
    <row r="14" spans="1:7" ht="28.8" x14ac:dyDescent="0.3">
      <c r="A14" s="6"/>
      <c r="B14" s="9" t="s">
        <v>236</v>
      </c>
      <c r="C14" s="6">
        <v>2</v>
      </c>
      <c r="D14" s="22" t="s">
        <v>242</v>
      </c>
      <c r="E14" s="8" t="s">
        <v>222</v>
      </c>
      <c r="F14" s="9" t="s">
        <v>239</v>
      </c>
      <c r="G14" s="9"/>
    </row>
    <row r="15" spans="1:7" ht="43.2" x14ac:dyDescent="0.3">
      <c r="A15" s="6"/>
      <c r="B15" s="9" t="s">
        <v>236</v>
      </c>
      <c r="C15" s="6">
        <v>2</v>
      </c>
      <c r="D15" s="22" t="s">
        <v>243</v>
      </c>
      <c r="E15" s="8" t="s">
        <v>222</v>
      </c>
      <c r="F15" s="9" t="s">
        <v>239</v>
      </c>
      <c r="G15" s="9"/>
    </row>
    <row r="16" spans="1:7" ht="28.8" x14ac:dyDescent="0.3">
      <c r="A16" s="6">
        <v>11</v>
      </c>
      <c r="B16" s="9" t="s">
        <v>236</v>
      </c>
      <c r="C16" s="6">
        <v>2</v>
      </c>
      <c r="D16" s="22" t="s">
        <v>244</v>
      </c>
      <c r="E16" s="8" t="s">
        <v>222</v>
      </c>
      <c r="F16" s="9" t="s">
        <v>239</v>
      </c>
      <c r="G16" s="9"/>
    </row>
    <row r="17" spans="1:7" ht="28.8" x14ac:dyDescent="0.3">
      <c r="A17" s="6">
        <v>12</v>
      </c>
      <c r="B17" s="9" t="s">
        <v>236</v>
      </c>
      <c r="C17" s="6">
        <v>2</v>
      </c>
      <c r="D17" s="22" t="s">
        <v>245</v>
      </c>
      <c r="E17" s="8" t="s">
        <v>222</v>
      </c>
      <c r="F17" s="9" t="s">
        <v>239</v>
      </c>
      <c r="G17" s="9"/>
    </row>
    <row r="18" spans="1:7" ht="28.8" x14ac:dyDescent="0.3">
      <c r="A18" s="6">
        <v>13</v>
      </c>
      <c r="B18" s="9" t="s">
        <v>236</v>
      </c>
      <c r="C18" s="6">
        <v>2</v>
      </c>
      <c r="D18" s="22" t="s">
        <v>246</v>
      </c>
      <c r="E18" s="8" t="s">
        <v>222</v>
      </c>
      <c r="F18" s="9" t="s">
        <v>239</v>
      </c>
      <c r="G18" s="9"/>
    </row>
    <row r="19" spans="1:7" ht="28.8" x14ac:dyDescent="0.3">
      <c r="A19" s="6">
        <v>14</v>
      </c>
      <c r="B19" s="9" t="s">
        <v>236</v>
      </c>
      <c r="C19" s="6">
        <v>2</v>
      </c>
      <c r="D19" s="22" t="s">
        <v>247</v>
      </c>
      <c r="E19" s="8" t="s">
        <v>222</v>
      </c>
      <c r="F19" s="9" t="s">
        <v>239</v>
      </c>
      <c r="G19" s="9"/>
    </row>
    <row r="20" spans="1:7" ht="28.8" x14ac:dyDescent="0.3">
      <c r="A20" s="6">
        <v>15</v>
      </c>
      <c r="B20" s="9" t="s">
        <v>236</v>
      </c>
      <c r="C20" s="6">
        <v>2</v>
      </c>
      <c r="D20" s="22" t="s">
        <v>248</v>
      </c>
      <c r="E20" s="8" t="s">
        <v>222</v>
      </c>
      <c r="F20" s="9" t="s">
        <v>239</v>
      </c>
      <c r="G20" s="9"/>
    </row>
    <row r="21" spans="1:7" ht="28.8" x14ac:dyDescent="0.3">
      <c r="A21" s="6">
        <v>16</v>
      </c>
      <c r="B21" s="9" t="s">
        <v>236</v>
      </c>
      <c r="C21" s="6">
        <v>2</v>
      </c>
      <c r="D21" s="22" t="s">
        <v>249</v>
      </c>
      <c r="E21" s="8" t="s">
        <v>222</v>
      </c>
      <c r="F21" s="9" t="s">
        <v>239</v>
      </c>
      <c r="G21" s="9"/>
    </row>
    <row r="22" spans="1:7" ht="28.8" x14ac:dyDescent="0.3">
      <c r="A22" s="6">
        <v>17</v>
      </c>
      <c r="B22" s="9" t="s">
        <v>236</v>
      </c>
      <c r="C22" s="6">
        <v>2</v>
      </c>
      <c r="D22" s="22" t="s">
        <v>250</v>
      </c>
      <c r="E22" s="8" t="s">
        <v>222</v>
      </c>
      <c r="F22" s="9" t="s">
        <v>239</v>
      </c>
      <c r="G22" s="9"/>
    </row>
    <row r="23" spans="1:7" ht="28.8" x14ac:dyDescent="0.3">
      <c r="A23" s="6">
        <v>18</v>
      </c>
      <c r="B23" s="9" t="s">
        <v>236</v>
      </c>
      <c r="C23" s="6">
        <v>2</v>
      </c>
      <c r="D23" s="22" t="s">
        <v>251</v>
      </c>
      <c r="E23" s="8" t="s">
        <v>222</v>
      </c>
      <c r="F23" s="9" t="s">
        <v>239</v>
      </c>
      <c r="G23" s="9"/>
    </row>
    <row r="24" spans="1:7" ht="43.2" x14ac:dyDescent="0.3">
      <c r="A24" s="6">
        <v>19</v>
      </c>
      <c r="B24" s="9" t="s">
        <v>252</v>
      </c>
      <c r="C24" s="6">
        <v>2</v>
      </c>
      <c r="D24" s="22" t="s">
        <v>253</v>
      </c>
      <c r="E24" s="8" t="s">
        <v>222</v>
      </c>
      <c r="F24" s="9" t="s">
        <v>239</v>
      </c>
      <c r="G24" s="9"/>
    </row>
    <row r="25" spans="1:7" ht="43.2" x14ac:dyDescent="0.3">
      <c r="A25" s="6">
        <v>20</v>
      </c>
      <c r="B25" s="9" t="s">
        <v>252</v>
      </c>
      <c r="C25" s="6">
        <v>2</v>
      </c>
      <c r="D25" s="22" t="s">
        <v>254</v>
      </c>
      <c r="E25" s="8" t="s">
        <v>222</v>
      </c>
      <c r="F25" s="9" t="s">
        <v>232</v>
      </c>
      <c r="G25" s="9"/>
    </row>
    <row r="26" spans="1:7" ht="28.8" x14ac:dyDescent="0.3">
      <c r="A26" s="6">
        <v>21</v>
      </c>
      <c r="B26" s="9" t="s">
        <v>252</v>
      </c>
      <c r="C26" s="6">
        <v>2</v>
      </c>
      <c r="D26" s="22" t="s">
        <v>255</v>
      </c>
      <c r="E26" s="8" t="s">
        <v>222</v>
      </c>
      <c r="F26" s="9" t="s">
        <v>239</v>
      </c>
      <c r="G26" s="9"/>
    </row>
    <row r="27" spans="1:7" ht="43.2" x14ac:dyDescent="0.3">
      <c r="A27" s="6">
        <v>22</v>
      </c>
      <c r="B27" s="9" t="s">
        <v>252</v>
      </c>
      <c r="C27" s="6">
        <v>2.2999999999999998</v>
      </c>
      <c r="D27" s="22" t="s">
        <v>256</v>
      </c>
      <c r="E27" s="8" t="s">
        <v>222</v>
      </c>
      <c r="F27" s="9" t="s">
        <v>239</v>
      </c>
      <c r="G27" s="9"/>
    </row>
    <row r="28" spans="1:7" ht="43.2" x14ac:dyDescent="0.3">
      <c r="A28" s="6">
        <v>23</v>
      </c>
      <c r="B28" s="9" t="s">
        <v>252</v>
      </c>
      <c r="C28" s="6">
        <v>3</v>
      </c>
      <c r="D28" s="22" t="s">
        <v>257</v>
      </c>
      <c r="E28" s="8" t="s">
        <v>222</v>
      </c>
      <c r="F28" s="9" t="s">
        <v>239</v>
      </c>
      <c r="G28" s="9"/>
    </row>
    <row r="29" spans="1:7" ht="43.2" x14ac:dyDescent="0.3">
      <c r="A29" s="6">
        <v>24</v>
      </c>
      <c r="B29" s="9" t="s">
        <v>252</v>
      </c>
      <c r="C29" s="6">
        <v>2</v>
      </c>
      <c r="D29" s="22" t="s">
        <v>258</v>
      </c>
      <c r="E29" s="8" t="s">
        <v>222</v>
      </c>
      <c r="F29" s="9" t="s">
        <v>239</v>
      </c>
      <c r="G29" s="9"/>
    </row>
    <row r="30" spans="1:7" ht="43.2" x14ac:dyDescent="0.3">
      <c r="A30" s="6">
        <v>25</v>
      </c>
      <c r="B30" s="9" t="s">
        <v>252</v>
      </c>
      <c r="C30" s="6">
        <v>2</v>
      </c>
      <c r="D30" s="22" t="s">
        <v>259</v>
      </c>
      <c r="E30" s="8" t="s">
        <v>222</v>
      </c>
      <c r="F30" s="9" t="s">
        <v>239</v>
      </c>
      <c r="G30" s="9"/>
    </row>
    <row r="31" spans="1:7" ht="43.2" x14ac:dyDescent="0.3">
      <c r="A31" s="6">
        <v>26</v>
      </c>
      <c r="B31" s="9" t="s">
        <v>252</v>
      </c>
      <c r="C31" s="6">
        <v>2</v>
      </c>
      <c r="D31" s="22" t="s">
        <v>260</v>
      </c>
      <c r="E31" s="8" t="s">
        <v>222</v>
      </c>
      <c r="F31" s="9" t="s">
        <v>239</v>
      </c>
      <c r="G31" s="9"/>
    </row>
    <row r="32" spans="1:7" ht="43.2" x14ac:dyDescent="0.3">
      <c r="A32" s="6">
        <v>27</v>
      </c>
      <c r="B32" s="9" t="s">
        <v>252</v>
      </c>
      <c r="C32" s="6">
        <v>3</v>
      </c>
      <c r="D32" s="22" t="s">
        <v>261</v>
      </c>
      <c r="E32" s="8" t="s">
        <v>222</v>
      </c>
      <c r="F32" s="9" t="s">
        <v>239</v>
      </c>
      <c r="G32" s="9"/>
    </row>
    <row r="33" spans="1:7" ht="43.2" x14ac:dyDescent="0.3">
      <c r="A33" s="6">
        <v>28</v>
      </c>
      <c r="B33" s="9" t="s">
        <v>252</v>
      </c>
      <c r="C33" s="6">
        <v>3</v>
      </c>
      <c r="D33" s="22" t="s">
        <v>262</v>
      </c>
      <c r="E33" s="8" t="s">
        <v>222</v>
      </c>
      <c r="F33" s="9" t="s">
        <v>239</v>
      </c>
      <c r="G33" s="9"/>
    </row>
    <row r="34" spans="1:7" ht="43.2" x14ac:dyDescent="0.3">
      <c r="A34" s="6">
        <v>29</v>
      </c>
      <c r="B34" s="9" t="s">
        <v>252</v>
      </c>
      <c r="C34" s="6">
        <v>3</v>
      </c>
      <c r="D34" s="22" t="s">
        <v>263</v>
      </c>
      <c r="E34" s="8" t="s">
        <v>222</v>
      </c>
      <c r="F34" s="9" t="s">
        <v>239</v>
      </c>
      <c r="G34" s="9"/>
    </row>
    <row r="35" spans="1:7" ht="43.2" x14ac:dyDescent="0.3">
      <c r="A35" s="6">
        <v>30</v>
      </c>
      <c r="B35" s="9" t="s">
        <v>252</v>
      </c>
      <c r="C35" s="6">
        <v>3</v>
      </c>
      <c r="D35" s="22" t="s">
        <v>264</v>
      </c>
      <c r="E35" s="8" t="s">
        <v>222</v>
      </c>
      <c r="F35" s="9" t="s">
        <v>239</v>
      </c>
      <c r="G35" s="9"/>
    </row>
    <row r="36" spans="1:7" ht="43.2" x14ac:dyDescent="0.3">
      <c r="A36" s="6">
        <v>31</v>
      </c>
      <c r="B36" s="9" t="s">
        <v>252</v>
      </c>
      <c r="C36" s="6">
        <v>3</v>
      </c>
      <c r="D36" s="22" t="s">
        <v>265</v>
      </c>
      <c r="E36" s="8" t="s">
        <v>222</v>
      </c>
      <c r="F36" s="9" t="s">
        <v>239</v>
      </c>
      <c r="G36" s="9"/>
    </row>
    <row r="37" spans="1:7" ht="28.8" x14ac:dyDescent="0.3">
      <c r="A37" s="6"/>
      <c r="B37" s="9" t="s">
        <v>266</v>
      </c>
      <c r="C37" s="6">
        <v>3</v>
      </c>
      <c r="D37" s="22" t="s">
        <v>267</v>
      </c>
      <c r="E37" s="8" t="s">
        <v>222</v>
      </c>
      <c r="F37" s="9" t="s">
        <v>239</v>
      </c>
      <c r="G37" s="9"/>
    </row>
    <row r="38" spans="1:7" ht="28.8" x14ac:dyDescent="0.3">
      <c r="A38" s="6">
        <v>32</v>
      </c>
      <c r="B38" s="9" t="s">
        <v>266</v>
      </c>
      <c r="C38" s="6">
        <v>3</v>
      </c>
      <c r="D38" s="7" t="s">
        <v>268</v>
      </c>
      <c r="E38" s="8" t="s">
        <v>222</v>
      </c>
      <c r="F38" s="9" t="s">
        <v>269</v>
      </c>
      <c r="G38" s="9"/>
    </row>
    <row r="39" spans="1:7" ht="28.8" x14ac:dyDescent="0.3">
      <c r="A39" s="6">
        <v>33</v>
      </c>
      <c r="B39" s="9" t="s">
        <v>266</v>
      </c>
      <c r="C39" s="6">
        <v>3</v>
      </c>
      <c r="D39" s="22" t="s">
        <v>270</v>
      </c>
      <c r="E39" s="8" t="s">
        <v>222</v>
      </c>
      <c r="F39" s="9"/>
      <c r="G39" s="9"/>
    </row>
    <row r="40" spans="1:7" ht="28.8" x14ac:dyDescent="0.3">
      <c r="A40" s="6">
        <v>34</v>
      </c>
      <c r="B40" s="9" t="s">
        <v>271</v>
      </c>
      <c r="C40" s="6">
        <v>3</v>
      </c>
      <c r="D40" s="8" t="s">
        <v>272</v>
      </c>
      <c r="E40" s="8" t="s">
        <v>222</v>
      </c>
      <c r="F40" s="9"/>
      <c r="G40" s="9"/>
    </row>
    <row r="41" spans="1:7" ht="28.8" x14ac:dyDescent="0.3">
      <c r="A41" s="6">
        <v>35</v>
      </c>
      <c r="B41" s="9" t="s">
        <v>271</v>
      </c>
      <c r="C41" s="6">
        <v>3</v>
      </c>
      <c r="D41" s="22" t="s">
        <v>273</v>
      </c>
      <c r="E41" s="8" t="s">
        <v>222</v>
      </c>
      <c r="F41" s="9"/>
      <c r="G41" s="9"/>
    </row>
    <row r="42" spans="1:7" ht="28.8" x14ac:dyDescent="0.3">
      <c r="A42" s="6">
        <v>36</v>
      </c>
      <c r="B42" s="9" t="s">
        <v>271</v>
      </c>
      <c r="C42" s="6">
        <v>3</v>
      </c>
      <c r="D42" s="22" t="s">
        <v>274</v>
      </c>
      <c r="E42" s="8" t="s">
        <v>222</v>
      </c>
      <c r="F42" s="9"/>
      <c r="G42" s="9"/>
    </row>
    <row r="43" spans="1:7" ht="28.8" x14ac:dyDescent="0.3">
      <c r="A43" s="6">
        <v>37</v>
      </c>
      <c r="B43" s="9" t="s">
        <v>275</v>
      </c>
      <c r="C43" s="6">
        <v>3</v>
      </c>
      <c r="D43" s="8" t="s">
        <v>276</v>
      </c>
      <c r="E43" s="8" t="s">
        <v>222</v>
      </c>
      <c r="F43" s="9"/>
      <c r="G43" s="9"/>
    </row>
    <row r="44" spans="1:7" ht="28.8" x14ac:dyDescent="0.3">
      <c r="A44" s="6">
        <v>38</v>
      </c>
      <c r="B44" s="9" t="s">
        <v>275</v>
      </c>
      <c r="C44" s="6">
        <v>3</v>
      </c>
      <c r="D44" s="22" t="s">
        <v>277</v>
      </c>
      <c r="E44" s="8" t="s">
        <v>222</v>
      </c>
      <c r="F44" s="9"/>
      <c r="G44" s="9"/>
    </row>
    <row r="45" spans="1:7" ht="28.8" x14ac:dyDescent="0.3">
      <c r="A45" s="6">
        <v>39</v>
      </c>
      <c r="B45" s="9" t="s">
        <v>275</v>
      </c>
      <c r="C45" s="6">
        <v>3</v>
      </c>
      <c r="D45" s="22" t="s">
        <v>278</v>
      </c>
      <c r="E45" s="8" t="s">
        <v>222</v>
      </c>
      <c r="F45" s="9"/>
      <c r="G45" s="9"/>
    </row>
    <row r="46" spans="1:7" ht="28.8" x14ac:dyDescent="0.3">
      <c r="A46" s="6">
        <v>40</v>
      </c>
      <c r="B46" s="9" t="s">
        <v>279</v>
      </c>
      <c r="C46" s="6">
        <v>3</v>
      </c>
      <c r="D46" s="8" t="s">
        <v>280</v>
      </c>
      <c r="E46" s="8" t="s">
        <v>222</v>
      </c>
      <c r="F46" s="9"/>
      <c r="G46" s="9"/>
    </row>
    <row r="47" spans="1:7" ht="28.8" x14ac:dyDescent="0.3">
      <c r="A47" s="6">
        <v>41</v>
      </c>
      <c r="B47" s="9" t="s">
        <v>279</v>
      </c>
      <c r="C47" s="6">
        <v>3</v>
      </c>
      <c r="D47" s="22" t="s">
        <v>281</v>
      </c>
      <c r="E47" s="8" t="s">
        <v>222</v>
      </c>
      <c r="F47" s="9"/>
      <c r="G47" s="9"/>
    </row>
    <row r="48" spans="1:7" ht="28.8" x14ac:dyDescent="0.3">
      <c r="A48" s="6">
        <v>42</v>
      </c>
      <c r="B48" s="9" t="s">
        <v>282</v>
      </c>
      <c r="C48" s="6">
        <v>3</v>
      </c>
      <c r="D48" s="22" t="s">
        <v>283</v>
      </c>
      <c r="E48" s="8" t="s">
        <v>222</v>
      </c>
      <c r="F48" s="9"/>
      <c r="G48" s="9"/>
    </row>
    <row r="49" spans="1:7" ht="28.8" x14ac:dyDescent="0.3">
      <c r="A49" s="6">
        <v>43</v>
      </c>
      <c r="B49" s="9" t="s">
        <v>282</v>
      </c>
      <c r="C49" s="6">
        <v>3</v>
      </c>
      <c r="D49" s="22" t="s">
        <v>284</v>
      </c>
      <c r="E49" s="8" t="s">
        <v>222</v>
      </c>
      <c r="F49" s="9"/>
      <c r="G49" s="9"/>
    </row>
    <row r="50" spans="1:7" ht="28.8" x14ac:dyDescent="0.3">
      <c r="A50" s="6">
        <v>44</v>
      </c>
      <c r="B50" s="9" t="s">
        <v>282</v>
      </c>
      <c r="C50" s="6">
        <v>3</v>
      </c>
      <c r="D50" s="22" t="s">
        <v>285</v>
      </c>
      <c r="E50" s="8" t="s">
        <v>222</v>
      </c>
      <c r="F50" s="9"/>
      <c r="G50" s="9"/>
    </row>
    <row r="51" spans="1:7" ht="28.8" x14ac:dyDescent="0.3">
      <c r="A51" s="6">
        <v>45</v>
      </c>
      <c r="B51" s="23" t="s">
        <v>286</v>
      </c>
      <c r="C51" s="6">
        <v>3</v>
      </c>
      <c r="D51" s="22" t="s">
        <v>287</v>
      </c>
      <c r="E51" s="8" t="s">
        <v>222</v>
      </c>
      <c r="F51" s="9"/>
      <c r="G51" s="9"/>
    </row>
    <row r="52" spans="1:7" ht="28.8" x14ac:dyDescent="0.3">
      <c r="A52" s="6">
        <v>46</v>
      </c>
      <c r="B52" s="23" t="s">
        <v>288</v>
      </c>
      <c r="C52" s="6">
        <v>3</v>
      </c>
      <c r="D52" s="22" t="s">
        <v>289</v>
      </c>
      <c r="E52" s="8" t="s">
        <v>222</v>
      </c>
      <c r="F52" s="9"/>
      <c r="G52" s="9"/>
    </row>
    <row r="53" spans="1:7" ht="28.8" x14ac:dyDescent="0.3">
      <c r="A53" s="6">
        <v>47</v>
      </c>
      <c r="B53" s="23" t="s">
        <v>290</v>
      </c>
      <c r="C53" s="6">
        <v>3</v>
      </c>
      <c r="D53" s="22" t="s">
        <v>291</v>
      </c>
      <c r="E53" s="8" t="s">
        <v>222</v>
      </c>
      <c r="F53" s="9"/>
      <c r="G53" s="9"/>
    </row>
    <row r="54" spans="1:7" ht="28.8" x14ac:dyDescent="0.3">
      <c r="A54" s="6">
        <v>48</v>
      </c>
      <c r="B54" s="23" t="s">
        <v>292</v>
      </c>
      <c r="C54" s="6">
        <v>3</v>
      </c>
      <c r="D54" s="8" t="s">
        <v>293</v>
      </c>
      <c r="E54" s="8" t="s">
        <v>222</v>
      </c>
      <c r="F54" s="9"/>
      <c r="G54" s="9"/>
    </row>
    <row r="55" spans="1:7" ht="28.8" x14ac:dyDescent="0.3">
      <c r="A55" s="6">
        <v>49</v>
      </c>
      <c r="B55" s="23" t="s">
        <v>294</v>
      </c>
      <c r="C55" s="6">
        <v>3</v>
      </c>
      <c r="D55" s="22" t="s">
        <v>295</v>
      </c>
      <c r="E55" s="8" t="s">
        <v>222</v>
      </c>
      <c r="F55" s="9"/>
      <c r="G55" s="9"/>
    </row>
    <row r="56" spans="1:7" ht="28.8" x14ac:dyDescent="0.3">
      <c r="A56" s="6">
        <v>50</v>
      </c>
      <c r="B56" s="23" t="s">
        <v>296</v>
      </c>
      <c r="C56" s="6">
        <v>3</v>
      </c>
      <c r="D56" s="22" t="s">
        <v>297</v>
      </c>
      <c r="E56" s="8" t="s">
        <v>222</v>
      </c>
      <c r="F56" s="9"/>
      <c r="G56" s="9"/>
    </row>
    <row r="57" spans="1:7" ht="28.8" x14ac:dyDescent="0.3">
      <c r="A57" s="6">
        <v>51</v>
      </c>
      <c r="B57" s="23" t="s">
        <v>296</v>
      </c>
      <c r="C57" s="6">
        <v>4</v>
      </c>
      <c r="D57" s="22" t="s">
        <v>298</v>
      </c>
      <c r="E57" s="8" t="s">
        <v>222</v>
      </c>
      <c r="F57" s="9"/>
      <c r="G57" s="9"/>
    </row>
    <row r="58" spans="1:7" ht="28.8" x14ac:dyDescent="0.3">
      <c r="A58" s="6">
        <v>52</v>
      </c>
      <c r="B58" s="23" t="s">
        <v>299</v>
      </c>
      <c r="C58" s="6">
        <v>3</v>
      </c>
      <c r="D58" s="22" t="s">
        <v>300</v>
      </c>
      <c r="E58" s="8" t="s">
        <v>222</v>
      </c>
      <c r="F58" s="9"/>
      <c r="G58" s="9"/>
    </row>
    <row r="59" spans="1:7" ht="28.8" x14ac:dyDescent="0.3">
      <c r="A59" s="6">
        <v>53</v>
      </c>
      <c r="B59" s="23" t="s">
        <v>301</v>
      </c>
      <c r="C59" s="6">
        <v>3</v>
      </c>
      <c r="D59" s="22" t="s">
        <v>302</v>
      </c>
      <c r="E59" s="8" t="s">
        <v>222</v>
      </c>
      <c r="F59" s="9"/>
      <c r="G59" s="9"/>
    </row>
    <row r="60" spans="1:7" ht="28.8" x14ac:dyDescent="0.3">
      <c r="A60" s="6">
        <v>54</v>
      </c>
      <c r="B60" s="23" t="s">
        <v>303</v>
      </c>
      <c r="C60" s="6">
        <v>3</v>
      </c>
      <c r="D60" s="22" t="s">
        <v>304</v>
      </c>
      <c r="E60" s="8" t="s">
        <v>222</v>
      </c>
      <c r="F60" s="9"/>
      <c r="G60" s="9"/>
    </row>
    <row r="61" spans="1:7" ht="30" customHeight="1" x14ac:dyDescent="0.3">
      <c r="A61" s="6">
        <v>55</v>
      </c>
      <c r="B61" s="9" t="s">
        <v>305</v>
      </c>
      <c r="C61" s="6">
        <v>4</v>
      </c>
      <c r="D61" s="22" t="s">
        <v>306</v>
      </c>
      <c r="E61" s="8" t="s">
        <v>222</v>
      </c>
      <c r="F61" s="9"/>
      <c r="G61" s="8" t="s">
        <v>307</v>
      </c>
    </row>
    <row r="62" spans="1:7" ht="28.8" x14ac:dyDescent="0.3">
      <c r="A62" s="6">
        <v>56</v>
      </c>
      <c r="B62" s="9" t="s">
        <v>305</v>
      </c>
      <c r="C62" s="6">
        <v>4</v>
      </c>
      <c r="D62" s="22" t="s">
        <v>308</v>
      </c>
      <c r="E62" s="8" t="s">
        <v>222</v>
      </c>
      <c r="F62" s="9"/>
      <c r="G62" s="9"/>
    </row>
    <row r="63" spans="1:7" ht="28.8" x14ac:dyDescent="0.3">
      <c r="A63" s="6">
        <v>57</v>
      </c>
      <c r="B63" s="9" t="s">
        <v>305</v>
      </c>
      <c r="C63" s="6">
        <v>4</v>
      </c>
      <c r="D63" s="22" t="s">
        <v>309</v>
      </c>
      <c r="E63" s="8" t="s">
        <v>222</v>
      </c>
      <c r="F63" s="9"/>
      <c r="G63" s="9"/>
    </row>
    <row r="64" spans="1:7" ht="28.8" x14ac:dyDescent="0.3">
      <c r="A64" s="6">
        <v>58</v>
      </c>
      <c r="B64" s="9" t="s">
        <v>305</v>
      </c>
      <c r="C64" s="6">
        <v>4</v>
      </c>
      <c r="D64" s="22" t="s">
        <v>310</v>
      </c>
      <c r="E64" s="8" t="s">
        <v>222</v>
      </c>
      <c r="F64" s="9"/>
      <c r="G64" s="9"/>
    </row>
    <row r="65" spans="1:7" ht="43.2" x14ac:dyDescent="0.3">
      <c r="A65" s="6">
        <v>59</v>
      </c>
      <c r="B65" s="23" t="s">
        <v>200</v>
      </c>
      <c r="C65" s="6">
        <v>4</v>
      </c>
      <c r="D65" s="22" t="s">
        <v>311</v>
      </c>
      <c r="E65" s="8" t="s">
        <v>222</v>
      </c>
      <c r="F65" s="9"/>
      <c r="G65" s="8"/>
    </row>
    <row r="66" spans="1:7" ht="43.2" x14ac:dyDescent="0.3">
      <c r="A66" s="6">
        <v>60</v>
      </c>
      <c r="B66" s="23" t="s">
        <v>200</v>
      </c>
      <c r="C66" s="6">
        <v>4</v>
      </c>
      <c r="D66" s="22" t="s">
        <v>312</v>
      </c>
      <c r="E66" s="8" t="s">
        <v>222</v>
      </c>
      <c r="F66" s="9"/>
      <c r="G66" s="9"/>
    </row>
    <row r="67" spans="1:7" ht="28.8" x14ac:dyDescent="0.3">
      <c r="A67" s="6">
        <v>61</v>
      </c>
      <c r="B67" s="23" t="s">
        <v>200</v>
      </c>
      <c r="C67" s="6">
        <v>4</v>
      </c>
      <c r="D67" s="22" t="s">
        <v>313</v>
      </c>
      <c r="E67" s="8" t="s">
        <v>222</v>
      </c>
      <c r="F67" s="9"/>
      <c r="G67" s="9"/>
    </row>
    <row r="68" spans="1:7" ht="28.8" x14ac:dyDescent="0.3">
      <c r="A68" s="6">
        <v>62</v>
      </c>
      <c r="B68" s="23" t="s">
        <v>200</v>
      </c>
      <c r="C68" s="6">
        <v>4</v>
      </c>
      <c r="D68" s="8" t="s">
        <v>314</v>
      </c>
      <c r="E68" s="8" t="s">
        <v>222</v>
      </c>
      <c r="F68" s="9"/>
      <c r="G68" s="9"/>
    </row>
    <row r="69" spans="1:7" ht="28.8" x14ac:dyDescent="0.3">
      <c r="A69" s="6">
        <v>63</v>
      </c>
      <c r="B69" s="23" t="s">
        <v>200</v>
      </c>
      <c r="C69" s="6">
        <v>4</v>
      </c>
      <c r="D69" s="22" t="s">
        <v>315</v>
      </c>
      <c r="E69" s="8" t="s">
        <v>222</v>
      </c>
      <c r="F69" s="9"/>
      <c r="G69" s="9"/>
    </row>
    <row r="70" spans="1:7" ht="28.8" x14ac:dyDescent="0.3">
      <c r="A70" s="6">
        <v>64</v>
      </c>
      <c r="B70" s="23" t="s">
        <v>200</v>
      </c>
      <c r="C70" s="6">
        <v>4</v>
      </c>
      <c r="D70" s="22" t="s">
        <v>316</v>
      </c>
      <c r="E70" s="8" t="s">
        <v>222</v>
      </c>
      <c r="F70" s="9"/>
      <c r="G70" s="8" t="s">
        <v>317</v>
      </c>
    </row>
    <row r="71" spans="1:7" ht="43.2" x14ac:dyDescent="0.3">
      <c r="A71" s="6">
        <v>65</v>
      </c>
      <c r="B71" s="23" t="s">
        <v>318</v>
      </c>
      <c r="C71" s="6" t="s">
        <v>319</v>
      </c>
      <c r="D71" s="22" t="s">
        <v>320</v>
      </c>
      <c r="E71" s="8" t="s">
        <v>222</v>
      </c>
      <c r="F71" s="9"/>
      <c r="G71" s="9"/>
    </row>
    <row r="72" spans="1:7" ht="43.2" x14ac:dyDescent="0.3">
      <c r="A72" s="6">
        <v>66</v>
      </c>
      <c r="B72" s="23" t="s">
        <v>318</v>
      </c>
      <c r="C72" s="6" t="s">
        <v>319</v>
      </c>
      <c r="D72" s="22" t="s">
        <v>321</v>
      </c>
      <c r="E72" s="8" t="s">
        <v>222</v>
      </c>
      <c r="F72" s="9"/>
      <c r="G72" s="9"/>
    </row>
    <row r="73" spans="1:7" ht="43.2" x14ac:dyDescent="0.3">
      <c r="A73" s="6">
        <v>67</v>
      </c>
      <c r="B73" s="23" t="s">
        <v>318</v>
      </c>
      <c r="C73" s="6" t="s">
        <v>319</v>
      </c>
      <c r="D73" s="22" t="s">
        <v>322</v>
      </c>
      <c r="E73" s="8" t="s">
        <v>222</v>
      </c>
      <c r="F73" s="9"/>
      <c r="G73" s="9"/>
    </row>
    <row r="74" spans="1:7" ht="28.8" x14ac:dyDescent="0.3">
      <c r="A74" s="6">
        <v>68</v>
      </c>
      <c r="B74" s="23" t="s">
        <v>318</v>
      </c>
      <c r="C74" s="6" t="s">
        <v>319</v>
      </c>
      <c r="D74" s="22" t="s">
        <v>323</v>
      </c>
      <c r="E74" s="8" t="s">
        <v>222</v>
      </c>
      <c r="F74" s="9"/>
      <c r="G74" s="9"/>
    </row>
    <row r="75" spans="1:7" ht="43.2" x14ac:dyDescent="0.3">
      <c r="A75" s="6">
        <v>69</v>
      </c>
      <c r="B75" s="23" t="s">
        <v>318</v>
      </c>
      <c r="C75" s="6" t="s">
        <v>319</v>
      </c>
      <c r="D75" s="22" t="s">
        <v>324</v>
      </c>
      <c r="E75" s="8" t="s">
        <v>222</v>
      </c>
      <c r="F75" s="9"/>
      <c r="G75" s="9"/>
    </row>
    <row r="76" spans="1:7" ht="28.8" x14ac:dyDescent="0.3">
      <c r="A76" s="6">
        <v>70</v>
      </c>
      <c r="B76" s="23" t="s">
        <v>318</v>
      </c>
      <c r="C76" s="6" t="s">
        <v>319</v>
      </c>
      <c r="D76" s="22" t="s">
        <v>325</v>
      </c>
      <c r="E76" s="8" t="s">
        <v>222</v>
      </c>
      <c r="F76" s="9"/>
      <c r="G76" s="9"/>
    </row>
    <row r="77" spans="1:7" ht="43.2" x14ac:dyDescent="0.3">
      <c r="A77" s="6">
        <v>71</v>
      </c>
      <c r="B77" s="23" t="s">
        <v>318</v>
      </c>
      <c r="C77" s="6" t="s">
        <v>319</v>
      </c>
      <c r="D77" s="22" t="s">
        <v>326</v>
      </c>
      <c r="E77" s="8" t="s">
        <v>222</v>
      </c>
      <c r="F77" s="9"/>
      <c r="G77" s="9"/>
    </row>
    <row r="78" spans="1:7" ht="28.8" x14ac:dyDescent="0.3">
      <c r="A78" s="6">
        <v>72</v>
      </c>
      <c r="B78" s="23" t="s">
        <v>318</v>
      </c>
      <c r="C78" s="6" t="s">
        <v>319</v>
      </c>
      <c r="D78" s="22" t="s">
        <v>327</v>
      </c>
      <c r="E78" s="8" t="s">
        <v>222</v>
      </c>
      <c r="F78" s="9"/>
      <c r="G78" s="9"/>
    </row>
    <row r="79" spans="1:7" ht="43.2" x14ac:dyDescent="0.3">
      <c r="A79" s="6">
        <v>73</v>
      </c>
      <c r="B79" s="23" t="s">
        <v>318</v>
      </c>
      <c r="C79" s="6" t="s">
        <v>319</v>
      </c>
      <c r="D79" s="22" t="s">
        <v>328</v>
      </c>
      <c r="E79" s="8" t="s">
        <v>222</v>
      </c>
      <c r="F79" s="9"/>
      <c r="G79" s="9"/>
    </row>
    <row r="80" spans="1:7" ht="28.8" x14ac:dyDescent="0.3">
      <c r="A80" s="6">
        <v>74</v>
      </c>
      <c r="B80" s="23" t="s">
        <v>318</v>
      </c>
      <c r="C80" s="6" t="s">
        <v>319</v>
      </c>
      <c r="D80" s="22" t="s">
        <v>329</v>
      </c>
      <c r="E80" s="8" t="s">
        <v>222</v>
      </c>
      <c r="F80" s="9"/>
      <c r="G80" s="9"/>
    </row>
    <row r="81" spans="1:7" ht="43.2" x14ac:dyDescent="0.3">
      <c r="A81" s="6">
        <v>75</v>
      </c>
      <c r="B81" s="23" t="s">
        <v>318</v>
      </c>
      <c r="C81" s="6" t="s">
        <v>319</v>
      </c>
      <c r="D81" s="22" t="s">
        <v>330</v>
      </c>
      <c r="E81" s="8" t="s">
        <v>222</v>
      </c>
      <c r="F81" s="9"/>
      <c r="G81" s="9"/>
    </row>
    <row r="82" spans="1:7" ht="43.2" x14ac:dyDescent="0.3">
      <c r="A82" s="6">
        <v>76</v>
      </c>
      <c r="B82" s="23" t="s">
        <v>318</v>
      </c>
      <c r="C82" s="6" t="s">
        <v>319</v>
      </c>
      <c r="D82" s="22" t="s">
        <v>331</v>
      </c>
      <c r="E82" s="8" t="s">
        <v>222</v>
      </c>
      <c r="F82" s="9"/>
      <c r="G82" s="9"/>
    </row>
    <row r="83" spans="1:7" x14ac:dyDescent="0.3">
      <c r="A83" s="6">
        <v>78</v>
      </c>
      <c r="B83" s="23" t="s">
        <v>332</v>
      </c>
      <c r="C83" s="6">
        <v>11.12</v>
      </c>
      <c r="D83" s="8" t="s">
        <v>333</v>
      </c>
      <c r="E83" s="8" t="s">
        <v>222</v>
      </c>
      <c r="F83" s="9"/>
      <c r="G83" s="9" t="s">
        <v>334</v>
      </c>
    </row>
    <row r="84" spans="1:7" ht="28.8" x14ac:dyDescent="0.3">
      <c r="A84" s="6">
        <v>79</v>
      </c>
      <c r="B84" s="23" t="s">
        <v>335</v>
      </c>
      <c r="C84" s="6">
        <v>11.12</v>
      </c>
      <c r="D84" s="22" t="s">
        <v>135</v>
      </c>
      <c r="E84" s="8" t="s">
        <v>222</v>
      </c>
      <c r="F84" s="9"/>
      <c r="G84" s="9"/>
    </row>
    <row r="85" spans="1:7" ht="43.2" x14ac:dyDescent="0.3">
      <c r="A85" s="6">
        <v>80</v>
      </c>
      <c r="B85" s="23" t="s">
        <v>335</v>
      </c>
      <c r="C85" s="6">
        <v>11.12</v>
      </c>
      <c r="D85" s="8" t="s">
        <v>336</v>
      </c>
      <c r="E85" s="8" t="s">
        <v>222</v>
      </c>
      <c r="F85" s="9"/>
      <c r="G85" s="9"/>
    </row>
    <row r="86" spans="1:7" ht="28.8" x14ac:dyDescent="0.3">
      <c r="A86" s="6">
        <v>81</v>
      </c>
      <c r="B86" s="23" t="s">
        <v>335</v>
      </c>
      <c r="C86" s="6">
        <v>11.12</v>
      </c>
      <c r="D86" s="22" t="s">
        <v>337</v>
      </c>
      <c r="E86" s="8" t="s">
        <v>222</v>
      </c>
      <c r="F86" s="9"/>
      <c r="G86" s="9"/>
    </row>
    <row r="87" spans="1:7" ht="43.2" x14ac:dyDescent="0.3">
      <c r="A87" s="6">
        <v>82</v>
      </c>
      <c r="B87" s="23" t="s">
        <v>335</v>
      </c>
      <c r="C87" s="6">
        <v>11.12</v>
      </c>
      <c r="D87" s="22" t="s">
        <v>338</v>
      </c>
      <c r="E87" s="8" t="s">
        <v>222</v>
      </c>
      <c r="F87" s="9"/>
      <c r="G87" s="9"/>
    </row>
    <row r="88" spans="1:7" ht="28.8" x14ac:dyDescent="0.3">
      <c r="A88" s="6">
        <v>83</v>
      </c>
      <c r="B88" s="23" t="s">
        <v>335</v>
      </c>
      <c r="C88" s="6">
        <v>11.12</v>
      </c>
      <c r="D88" s="22" t="s">
        <v>339</v>
      </c>
      <c r="E88" s="8" t="s">
        <v>222</v>
      </c>
      <c r="F88" s="9"/>
      <c r="G88" s="9"/>
    </row>
    <row r="89" spans="1:7" ht="43.2" x14ac:dyDescent="0.3">
      <c r="A89" s="6">
        <v>84</v>
      </c>
      <c r="B89" s="23" t="s">
        <v>335</v>
      </c>
      <c r="C89" s="6">
        <v>11.12</v>
      </c>
      <c r="D89" s="22" t="s">
        <v>340</v>
      </c>
      <c r="E89" s="8" t="s">
        <v>222</v>
      </c>
      <c r="F89" s="9"/>
      <c r="G89" s="8" t="s">
        <v>307</v>
      </c>
    </row>
    <row r="90" spans="1:7" ht="28.8" x14ac:dyDescent="0.3">
      <c r="A90" s="6">
        <v>85</v>
      </c>
      <c r="B90" s="23" t="s">
        <v>335</v>
      </c>
      <c r="C90" s="6">
        <v>11.12</v>
      </c>
      <c r="D90" s="22" t="s">
        <v>341</v>
      </c>
      <c r="E90" s="8" t="s">
        <v>222</v>
      </c>
      <c r="F90" s="9"/>
      <c r="G90" s="9"/>
    </row>
    <row r="91" spans="1:7" ht="28.8" x14ac:dyDescent="0.3">
      <c r="A91" s="6">
        <v>86</v>
      </c>
      <c r="B91" s="23" t="s">
        <v>335</v>
      </c>
      <c r="C91" s="6">
        <v>11.12</v>
      </c>
      <c r="D91" s="22" t="s">
        <v>342</v>
      </c>
      <c r="E91" s="8" t="s">
        <v>222</v>
      </c>
      <c r="F91" s="9"/>
      <c r="G91" s="9"/>
    </row>
    <row r="92" spans="1:7" ht="28.8" x14ac:dyDescent="0.3">
      <c r="A92" s="6">
        <v>87</v>
      </c>
      <c r="B92" s="23" t="s">
        <v>335</v>
      </c>
      <c r="C92" s="6">
        <v>11.12</v>
      </c>
      <c r="D92" s="22" t="s">
        <v>343</v>
      </c>
      <c r="E92" s="8" t="s">
        <v>222</v>
      </c>
      <c r="F92" s="9"/>
      <c r="G92" s="9"/>
    </row>
    <row r="93" spans="1:7" ht="28.8" x14ac:dyDescent="0.3">
      <c r="A93" s="6">
        <v>90</v>
      </c>
      <c r="B93" s="23" t="s">
        <v>335</v>
      </c>
      <c r="C93" s="6">
        <v>11.12</v>
      </c>
      <c r="D93" s="22" t="s">
        <v>344</v>
      </c>
      <c r="E93" s="8" t="s">
        <v>222</v>
      </c>
      <c r="F93" s="9"/>
      <c r="G93" s="9"/>
    </row>
    <row r="94" spans="1:7" ht="43.2" x14ac:dyDescent="0.3">
      <c r="A94" s="6">
        <v>91</v>
      </c>
      <c r="B94" s="23" t="s">
        <v>335</v>
      </c>
      <c r="C94" s="6">
        <v>11.12</v>
      </c>
      <c r="D94" s="22" t="s">
        <v>345</v>
      </c>
      <c r="E94" s="8" t="s">
        <v>222</v>
      </c>
      <c r="F94" s="9"/>
      <c r="G94" s="9" t="s">
        <v>346</v>
      </c>
    </row>
    <row r="95" spans="1:7" ht="28.8" x14ac:dyDescent="0.3">
      <c r="A95" s="6">
        <v>92</v>
      </c>
      <c r="B95" s="23" t="s">
        <v>335</v>
      </c>
      <c r="C95" s="6">
        <v>11.12</v>
      </c>
      <c r="D95" s="22" t="s">
        <v>347</v>
      </c>
      <c r="E95" s="8" t="s">
        <v>222</v>
      </c>
      <c r="F95" s="9"/>
      <c r="G95" s="9"/>
    </row>
    <row r="96" spans="1:7" ht="28.8" x14ac:dyDescent="0.3">
      <c r="A96" s="6">
        <v>93</v>
      </c>
      <c r="B96" s="23" t="s">
        <v>335</v>
      </c>
      <c r="C96" s="6">
        <v>11.12</v>
      </c>
      <c r="D96" s="22" t="s">
        <v>348</v>
      </c>
      <c r="E96" s="8" t="s">
        <v>222</v>
      </c>
      <c r="F96" s="9"/>
      <c r="G96" s="9"/>
    </row>
    <row r="97" spans="1:7" ht="28.8" x14ac:dyDescent="0.3">
      <c r="A97" s="6">
        <v>94</v>
      </c>
      <c r="B97" s="23" t="s">
        <v>335</v>
      </c>
      <c r="C97" s="6">
        <v>11.12</v>
      </c>
      <c r="D97" s="22" t="s">
        <v>349</v>
      </c>
      <c r="E97" s="8" t="s">
        <v>222</v>
      </c>
      <c r="F97" s="9"/>
      <c r="G97" s="9"/>
    </row>
    <row r="98" spans="1:7" ht="43.2" x14ac:dyDescent="0.3">
      <c r="A98" s="6">
        <v>95</v>
      </c>
      <c r="B98" s="23" t="s">
        <v>335</v>
      </c>
      <c r="C98" s="6">
        <v>11.12</v>
      </c>
      <c r="D98" s="22" t="s">
        <v>350</v>
      </c>
      <c r="E98" s="8" t="s">
        <v>222</v>
      </c>
      <c r="F98" s="9"/>
      <c r="G98" s="9"/>
    </row>
    <row r="99" spans="1:7" ht="28.8" x14ac:dyDescent="0.3">
      <c r="A99" s="6">
        <v>96</v>
      </c>
      <c r="B99" s="23" t="s">
        <v>335</v>
      </c>
      <c r="C99" s="6">
        <v>11.12</v>
      </c>
      <c r="D99" s="22" t="s">
        <v>351</v>
      </c>
      <c r="E99" s="8" t="s">
        <v>222</v>
      </c>
      <c r="F99" s="9"/>
      <c r="G99" s="9"/>
    </row>
    <row r="100" spans="1:7" x14ac:dyDescent="0.3">
      <c r="D100" s="2"/>
    </row>
  </sheetData>
  <autoFilter ref="A1:G1" xr:uid="{8AB7A5CE-2E7D-459F-8F1C-038B6663EF0E}"/>
  <mergeCells count="2">
    <mergeCell ref="B2:B5"/>
    <mergeCell ref="B6: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52545-6C02-4FDB-ACE3-42D6243B0499}">
  <dimension ref="A1:G78"/>
  <sheetViews>
    <sheetView showGridLines="0" zoomScale="62" workbookViewId="0">
      <pane ySplit="1" topLeftCell="A2" activePane="bottomLeft" state="frozen"/>
      <selection pane="bottomLeft" sqref="A1:XFD1"/>
    </sheetView>
  </sheetViews>
  <sheetFormatPr defaultRowHeight="14.4" x14ac:dyDescent="0.3"/>
  <cols>
    <col min="2" max="2" width="41.109375" bestFit="1" customWidth="1"/>
    <col min="3" max="3" width="17.5546875" customWidth="1"/>
    <col min="4" max="4" width="62.21875" customWidth="1"/>
    <col min="5" max="5" width="58.44140625" customWidth="1"/>
    <col min="6" max="6" width="29.5546875" customWidth="1"/>
    <col min="7" max="7" width="24.44140625" customWidth="1"/>
  </cols>
  <sheetData>
    <row r="1" spans="1:7" s="2" customFormat="1" ht="36" x14ac:dyDescent="0.3">
      <c r="A1" s="24" t="s">
        <v>0</v>
      </c>
      <c r="B1" s="24" t="s">
        <v>1</v>
      </c>
      <c r="C1" s="24" t="s">
        <v>166</v>
      </c>
      <c r="D1" s="24" t="s">
        <v>5</v>
      </c>
      <c r="E1" s="24" t="s">
        <v>6</v>
      </c>
      <c r="F1" s="24" t="s">
        <v>7</v>
      </c>
      <c r="G1" s="24" t="s">
        <v>214</v>
      </c>
    </row>
    <row r="2" spans="1:7" s="2" customFormat="1" ht="28.8" x14ac:dyDescent="0.3">
      <c r="A2" s="6">
        <v>1</v>
      </c>
      <c r="B2" s="36" t="s">
        <v>167</v>
      </c>
      <c r="C2" s="11">
        <v>1</v>
      </c>
      <c r="D2" s="22" t="s">
        <v>352</v>
      </c>
      <c r="E2" s="8" t="s">
        <v>222</v>
      </c>
      <c r="F2" s="9" t="s">
        <v>168</v>
      </c>
      <c r="G2" s="9"/>
    </row>
    <row r="3" spans="1:7" s="2" customFormat="1" ht="28.8" x14ac:dyDescent="0.3">
      <c r="A3" s="6">
        <v>2</v>
      </c>
      <c r="B3" s="36"/>
      <c r="C3" s="11">
        <v>1</v>
      </c>
      <c r="D3" s="22" t="s">
        <v>353</v>
      </c>
      <c r="E3" s="8" t="s">
        <v>222</v>
      </c>
      <c r="F3" s="9" t="s">
        <v>168</v>
      </c>
      <c r="G3" s="9"/>
    </row>
    <row r="4" spans="1:7" ht="28.8" x14ac:dyDescent="0.3">
      <c r="A4" s="6">
        <v>3</v>
      </c>
      <c r="B4" s="36"/>
      <c r="C4" s="6">
        <v>1</v>
      </c>
      <c r="D4" s="8" t="s">
        <v>354</v>
      </c>
      <c r="E4" s="8" t="s">
        <v>222</v>
      </c>
      <c r="F4" s="9" t="s">
        <v>168</v>
      </c>
      <c r="G4" s="9"/>
    </row>
    <row r="5" spans="1:7" ht="28.8" x14ac:dyDescent="0.3">
      <c r="A5" s="6">
        <v>5</v>
      </c>
      <c r="B5" s="20" t="s">
        <v>355</v>
      </c>
      <c r="C5" s="6">
        <v>2</v>
      </c>
      <c r="D5" s="7" t="s">
        <v>356</v>
      </c>
      <c r="E5" s="8" t="s">
        <v>222</v>
      </c>
      <c r="F5" s="9" t="s">
        <v>168</v>
      </c>
      <c r="G5" s="9" t="s">
        <v>357</v>
      </c>
    </row>
    <row r="6" spans="1:7" s="2" customFormat="1" ht="29.1" customHeight="1" x14ac:dyDescent="0.3">
      <c r="A6" s="6">
        <v>6</v>
      </c>
      <c r="B6" s="39" t="s">
        <v>236</v>
      </c>
      <c r="C6" s="6">
        <v>2</v>
      </c>
      <c r="D6" s="22" t="s">
        <v>237</v>
      </c>
      <c r="E6" s="8" t="s">
        <v>222</v>
      </c>
      <c r="F6" s="9" t="s">
        <v>168</v>
      </c>
      <c r="G6" s="9"/>
    </row>
    <row r="7" spans="1:7" s="2" customFormat="1" ht="29.1" customHeight="1" x14ac:dyDescent="0.3">
      <c r="A7" s="6">
        <v>7</v>
      </c>
      <c r="B7" s="39"/>
      <c r="C7" s="6">
        <v>2</v>
      </c>
      <c r="D7" s="22" t="s">
        <v>358</v>
      </c>
      <c r="E7" s="8" t="s">
        <v>222</v>
      </c>
      <c r="F7" s="9" t="s">
        <v>168</v>
      </c>
      <c r="G7" s="9"/>
    </row>
    <row r="8" spans="1:7" s="2" customFormat="1" ht="28.8" x14ac:dyDescent="0.3">
      <c r="A8" s="6">
        <v>8</v>
      </c>
      <c r="B8" s="39"/>
      <c r="C8" s="6"/>
      <c r="D8" s="22" t="s">
        <v>240</v>
      </c>
      <c r="E8" s="8" t="s">
        <v>222</v>
      </c>
      <c r="F8" s="9" t="s">
        <v>168</v>
      </c>
      <c r="G8" s="9"/>
    </row>
    <row r="9" spans="1:7" s="2" customFormat="1" ht="29.1" customHeight="1" x14ac:dyDescent="0.3">
      <c r="A9" s="6">
        <v>9</v>
      </c>
      <c r="B9" s="39"/>
      <c r="C9" s="6">
        <v>2</v>
      </c>
      <c r="D9" s="22" t="s">
        <v>241</v>
      </c>
      <c r="E9" s="8" t="s">
        <v>222</v>
      </c>
      <c r="F9" s="9" t="s">
        <v>168</v>
      </c>
      <c r="G9" s="9"/>
    </row>
    <row r="10" spans="1:7" s="2" customFormat="1" ht="29.1" customHeight="1" x14ac:dyDescent="0.3">
      <c r="A10" s="6">
        <v>10</v>
      </c>
      <c r="B10" s="39"/>
      <c r="C10" s="6">
        <v>2</v>
      </c>
      <c r="D10" s="22" t="s">
        <v>242</v>
      </c>
      <c r="E10" s="8" t="s">
        <v>222</v>
      </c>
      <c r="F10" s="9" t="s">
        <v>168</v>
      </c>
      <c r="G10" s="9"/>
    </row>
    <row r="11" spans="1:7" s="2" customFormat="1" ht="28.8" x14ac:dyDescent="0.3">
      <c r="A11" s="6">
        <v>11</v>
      </c>
      <c r="B11" s="39"/>
      <c r="C11" s="6">
        <v>2</v>
      </c>
      <c r="D11" s="22" t="s">
        <v>243</v>
      </c>
      <c r="E11" s="8" t="s">
        <v>222</v>
      </c>
      <c r="F11" s="9" t="s">
        <v>168</v>
      </c>
      <c r="G11" s="9"/>
    </row>
    <row r="12" spans="1:7" s="2" customFormat="1" ht="29.1" customHeight="1" x14ac:dyDescent="0.3">
      <c r="A12" s="6">
        <v>12</v>
      </c>
      <c r="B12" s="39"/>
      <c r="C12" s="6">
        <v>2</v>
      </c>
      <c r="D12" s="22" t="s">
        <v>244</v>
      </c>
      <c r="E12" s="8" t="s">
        <v>222</v>
      </c>
      <c r="F12" s="9" t="s">
        <v>168</v>
      </c>
      <c r="G12" s="9"/>
    </row>
    <row r="13" spans="1:7" s="2" customFormat="1" ht="29.1" customHeight="1" x14ac:dyDescent="0.3">
      <c r="A13" s="6">
        <v>13</v>
      </c>
      <c r="B13" s="39"/>
      <c r="C13" s="6">
        <v>2</v>
      </c>
      <c r="D13" s="22" t="s">
        <v>245</v>
      </c>
      <c r="E13" s="8" t="s">
        <v>222</v>
      </c>
      <c r="F13" s="9" t="s">
        <v>168</v>
      </c>
      <c r="G13" s="9"/>
    </row>
    <row r="14" spans="1:7" s="2" customFormat="1" ht="29.1" customHeight="1" x14ac:dyDescent="0.3">
      <c r="A14" s="6">
        <v>14</v>
      </c>
      <c r="B14" s="39"/>
      <c r="C14" s="6">
        <v>2</v>
      </c>
      <c r="D14" s="22" t="s">
        <v>246</v>
      </c>
      <c r="E14" s="8" t="s">
        <v>222</v>
      </c>
      <c r="F14" s="9" t="s">
        <v>168</v>
      </c>
      <c r="G14" s="9"/>
    </row>
    <row r="15" spans="1:7" s="2" customFormat="1" ht="29.1" customHeight="1" x14ac:dyDescent="0.3">
      <c r="A15" s="6">
        <v>15</v>
      </c>
      <c r="B15" s="39"/>
      <c r="C15" s="6">
        <v>2</v>
      </c>
      <c r="D15" s="22" t="s">
        <v>247</v>
      </c>
      <c r="E15" s="8" t="s">
        <v>222</v>
      </c>
      <c r="F15" s="9" t="s">
        <v>168</v>
      </c>
      <c r="G15" s="9"/>
    </row>
    <row r="16" spans="1:7" s="2" customFormat="1" ht="29.1" customHeight="1" x14ac:dyDescent="0.3">
      <c r="A16" s="6">
        <v>16</v>
      </c>
      <c r="B16" s="39"/>
      <c r="C16" s="6">
        <v>2</v>
      </c>
      <c r="D16" s="22" t="s">
        <v>248</v>
      </c>
      <c r="E16" s="8" t="s">
        <v>222</v>
      </c>
      <c r="F16" s="9" t="s">
        <v>168</v>
      </c>
      <c r="G16" s="9"/>
    </row>
    <row r="17" spans="1:7" s="2" customFormat="1" ht="29.1" customHeight="1" x14ac:dyDescent="0.3">
      <c r="A17" s="6">
        <v>17</v>
      </c>
      <c r="B17" s="39"/>
      <c r="C17" s="6">
        <v>2</v>
      </c>
      <c r="D17" s="22" t="s">
        <v>249</v>
      </c>
      <c r="E17" s="8" t="s">
        <v>222</v>
      </c>
      <c r="F17" s="9" t="s">
        <v>168</v>
      </c>
      <c r="G17" s="9"/>
    </row>
    <row r="18" spans="1:7" s="2" customFormat="1" ht="29.1" customHeight="1" x14ac:dyDescent="0.3">
      <c r="A18" s="6">
        <v>18</v>
      </c>
      <c r="B18" s="39"/>
      <c r="C18" s="6">
        <v>2</v>
      </c>
      <c r="D18" s="22" t="s">
        <v>250</v>
      </c>
      <c r="E18" s="8" t="s">
        <v>222</v>
      </c>
      <c r="F18" s="9" t="s">
        <v>168</v>
      </c>
      <c r="G18" s="9"/>
    </row>
    <row r="19" spans="1:7" s="2" customFormat="1" ht="29.1" customHeight="1" x14ac:dyDescent="0.3">
      <c r="A19" s="6">
        <v>19</v>
      </c>
      <c r="B19" s="39"/>
      <c r="C19" s="6">
        <v>2</v>
      </c>
      <c r="D19" s="22" t="s">
        <v>251</v>
      </c>
      <c r="E19" s="8" t="s">
        <v>222</v>
      </c>
      <c r="F19" s="9" t="s">
        <v>168</v>
      </c>
      <c r="G19" s="9"/>
    </row>
    <row r="20" spans="1:7" ht="28.8" x14ac:dyDescent="0.3">
      <c r="A20" s="6">
        <v>20</v>
      </c>
      <c r="B20" s="39" t="s">
        <v>252</v>
      </c>
      <c r="C20" s="6">
        <v>2</v>
      </c>
      <c r="D20" s="22" t="s">
        <v>253</v>
      </c>
      <c r="E20" s="8" t="s">
        <v>222</v>
      </c>
      <c r="F20" s="9" t="s">
        <v>168</v>
      </c>
      <c r="G20" s="23"/>
    </row>
    <row r="21" spans="1:7" ht="28.8" x14ac:dyDescent="0.3">
      <c r="A21" s="6">
        <v>21</v>
      </c>
      <c r="B21" s="39"/>
      <c r="C21" s="6">
        <v>2</v>
      </c>
      <c r="D21" s="22" t="s">
        <v>254</v>
      </c>
      <c r="E21" s="8" t="s">
        <v>222</v>
      </c>
      <c r="F21" s="9" t="s">
        <v>168</v>
      </c>
      <c r="G21" s="23"/>
    </row>
    <row r="22" spans="1:7" ht="28.8" x14ac:dyDescent="0.3">
      <c r="A22" s="6">
        <v>22</v>
      </c>
      <c r="B22" s="39"/>
      <c r="C22" s="6">
        <v>2</v>
      </c>
      <c r="D22" s="22" t="s">
        <v>255</v>
      </c>
      <c r="E22" s="8" t="s">
        <v>222</v>
      </c>
      <c r="F22" s="9" t="s">
        <v>168</v>
      </c>
      <c r="G22" s="23"/>
    </row>
    <row r="23" spans="1:7" ht="28.8" x14ac:dyDescent="0.3">
      <c r="A23" s="6">
        <v>23</v>
      </c>
      <c r="B23" s="39"/>
      <c r="C23" s="6">
        <v>3</v>
      </c>
      <c r="D23" s="22" t="s">
        <v>256</v>
      </c>
      <c r="E23" s="8" t="s">
        <v>222</v>
      </c>
      <c r="F23" s="9" t="s">
        <v>168</v>
      </c>
      <c r="G23" s="23"/>
    </row>
    <row r="24" spans="1:7" ht="28.8" x14ac:dyDescent="0.3">
      <c r="A24" s="6">
        <v>24</v>
      </c>
      <c r="B24" s="39"/>
      <c r="C24" s="6">
        <v>3</v>
      </c>
      <c r="D24" s="22" t="s">
        <v>257</v>
      </c>
      <c r="E24" s="8" t="s">
        <v>222</v>
      </c>
      <c r="F24" s="9" t="s">
        <v>168</v>
      </c>
      <c r="G24" s="23"/>
    </row>
    <row r="25" spans="1:7" ht="28.8" x14ac:dyDescent="0.3">
      <c r="A25" s="6">
        <v>25</v>
      </c>
      <c r="B25" s="39"/>
      <c r="C25" s="6">
        <v>2</v>
      </c>
      <c r="D25" s="22" t="s">
        <v>258</v>
      </c>
      <c r="E25" s="8" t="s">
        <v>222</v>
      </c>
      <c r="F25" s="9" t="s">
        <v>168</v>
      </c>
      <c r="G25" s="23"/>
    </row>
    <row r="26" spans="1:7" ht="28.8" x14ac:dyDescent="0.3">
      <c r="A26" s="6">
        <v>26</v>
      </c>
      <c r="B26" s="39"/>
      <c r="C26" s="6">
        <v>2</v>
      </c>
      <c r="D26" s="22" t="s">
        <v>259</v>
      </c>
      <c r="E26" s="8" t="s">
        <v>222</v>
      </c>
      <c r="F26" s="9" t="s">
        <v>168</v>
      </c>
      <c r="G26" s="23"/>
    </row>
    <row r="27" spans="1:7" ht="28.8" x14ac:dyDescent="0.3">
      <c r="A27" s="6">
        <v>27</v>
      </c>
      <c r="B27" s="39"/>
      <c r="C27" s="6">
        <v>2</v>
      </c>
      <c r="D27" s="22" t="s">
        <v>260</v>
      </c>
      <c r="E27" s="8" t="s">
        <v>222</v>
      </c>
      <c r="F27" s="9" t="s">
        <v>168</v>
      </c>
      <c r="G27" s="23"/>
    </row>
    <row r="28" spans="1:7" ht="28.8" x14ac:dyDescent="0.3">
      <c r="A28" s="6">
        <v>28</v>
      </c>
      <c r="B28" s="39"/>
      <c r="C28" s="6">
        <v>3</v>
      </c>
      <c r="D28" s="22" t="s">
        <v>261</v>
      </c>
      <c r="E28" s="8" t="s">
        <v>222</v>
      </c>
      <c r="F28" s="9" t="s">
        <v>168</v>
      </c>
      <c r="G28" s="23"/>
    </row>
    <row r="29" spans="1:7" ht="28.8" x14ac:dyDescent="0.3">
      <c r="A29" s="6">
        <v>29</v>
      </c>
      <c r="B29" s="39"/>
      <c r="C29" s="6">
        <v>3</v>
      </c>
      <c r="D29" s="22" t="s">
        <v>262</v>
      </c>
      <c r="E29" s="8" t="s">
        <v>222</v>
      </c>
      <c r="F29" s="9" t="s">
        <v>168</v>
      </c>
      <c r="G29" s="23"/>
    </row>
    <row r="30" spans="1:7" ht="28.8" x14ac:dyDescent="0.3">
      <c r="A30" s="6">
        <v>30</v>
      </c>
      <c r="B30" s="39"/>
      <c r="C30" s="6">
        <v>3</v>
      </c>
      <c r="D30" s="22" t="s">
        <v>263</v>
      </c>
      <c r="E30" s="8" t="s">
        <v>222</v>
      </c>
      <c r="F30" s="9" t="s">
        <v>168</v>
      </c>
      <c r="G30" s="23"/>
    </row>
    <row r="31" spans="1:7" ht="28.8" x14ac:dyDescent="0.3">
      <c r="A31" s="6">
        <v>31</v>
      </c>
      <c r="B31" s="39"/>
      <c r="C31" s="6">
        <v>3</v>
      </c>
      <c r="D31" s="22" t="s">
        <v>264</v>
      </c>
      <c r="E31" s="8" t="s">
        <v>222</v>
      </c>
      <c r="F31" s="9" t="s">
        <v>168</v>
      </c>
      <c r="G31" s="23"/>
    </row>
    <row r="32" spans="1:7" ht="28.8" x14ac:dyDescent="0.3">
      <c r="A32" s="6">
        <v>32</v>
      </c>
      <c r="B32" s="39"/>
      <c r="C32" s="6">
        <v>3</v>
      </c>
      <c r="D32" s="22" t="s">
        <v>265</v>
      </c>
      <c r="E32" s="8" t="s">
        <v>222</v>
      </c>
      <c r="F32" s="9" t="s">
        <v>168</v>
      </c>
      <c r="G32" s="23"/>
    </row>
    <row r="33" spans="1:7" ht="28.8" x14ac:dyDescent="0.3">
      <c r="A33" s="6">
        <v>33</v>
      </c>
      <c r="B33" s="35" t="s">
        <v>174</v>
      </c>
      <c r="C33" s="6">
        <v>3</v>
      </c>
      <c r="D33" s="8" t="s">
        <v>175</v>
      </c>
      <c r="E33" s="8" t="s">
        <v>222</v>
      </c>
      <c r="F33" s="9" t="s">
        <v>168</v>
      </c>
      <c r="G33" s="23"/>
    </row>
    <row r="34" spans="1:7" ht="28.8" x14ac:dyDescent="0.3">
      <c r="A34" s="6">
        <v>34</v>
      </c>
      <c r="B34" s="35"/>
      <c r="C34" s="6">
        <v>3</v>
      </c>
      <c r="D34" s="8" t="s">
        <v>176</v>
      </c>
      <c r="E34" s="8" t="s">
        <v>222</v>
      </c>
      <c r="F34" s="9" t="s">
        <v>168</v>
      </c>
      <c r="G34" s="23"/>
    </row>
    <row r="35" spans="1:7" ht="28.8" x14ac:dyDescent="0.3">
      <c r="A35" s="6">
        <v>35</v>
      </c>
      <c r="B35" s="35"/>
      <c r="C35" s="6">
        <v>3</v>
      </c>
      <c r="D35" s="21" t="s">
        <v>177</v>
      </c>
      <c r="E35" s="8" t="s">
        <v>222</v>
      </c>
      <c r="F35" s="9" t="s">
        <v>178</v>
      </c>
      <c r="G35" s="23"/>
    </row>
    <row r="36" spans="1:7" ht="28.8" x14ac:dyDescent="0.3">
      <c r="A36" s="6">
        <v>36</v>
      </c>
      <c r="B36" s="35"/>
      <c r="C36" s="6">
        <v>3</v>
      </c>
      <c r="D36" s="8" t="s">
        <v>179</v>
      </c>
      <c r="E36" s="8" t="s">
        <v>222</v>
      </c>
      <c r="F36" s="9" t="s">
        <v>168</v>
      </c>
      <c r="G36" s="23"/>
    </row>
    <row r="37" spans="1:7" ht="28.8" x14ac:dyDescent="0.3">
      <c r="A37" s="6">
        <v>37</v>
      </c>
      <c r="B37" s="35"/>
      <c r="C37" s="6">
        <v>3</v>
      </c>
      <c r="D37" s="8" t="s">
        <v>180</v>
      </c>
      <c r="E37" s="8" t="s">
        <v>222</v>
      </c>
      <c r="F37" s="9" t="s">
        <v>168</v>
      </c>
      <c r="G37" s="23"/>
    </row>
    <row r="38" spans="1:7" ht="28.8" x14ac:dyDescent="0.3">
      <c r="A38" s="6">
        <v>38</v>
      </c>
      <c r="B38" s="35"/>
      <c r="C38" s="6">
        <v>3</v>
      </c>
      <c r="D38" s="21" t="s">
        <v>181</v>
      </c>
      <c r="E38" s="8" t="s">
        <v>222</v>
      </c>
      <c r="F38" s="9" t="s">
        <v>178</v>
      </c>
      <c r="G38" s="23"/>
    </row>
    <row r="39" spans="1:7" ht="28.8" x14ac:dyDescent="0.3">
      <c r="A39" s="6">
        <v>39</v>
      </c>
      <c r="B39" s="35"/>
      <c r="C39" s="6">
        <v>3</v>
      </c>
      <c r="D39" s="8" t="s">
        <v>182</v>
      </c>
      <c r="E39" s="8" t="s">
        <v>222</v>
      </c>
      <c r="F39" s="9" t="s">
        <v>168</v>
      </c>
      <c r="G39" s="23"/>
    </row>
    <row r="40" spans="1:7" ht="28.8" x14ac:dyDescent="0.3">
      <c r="A40" s="6">
        <v>40</v>
      </c>
      <c r="B40" s="35"/>
      <c r="C40" s="6">
        <v>3</v>
      </c>
      <c r="D40" s="8" t="s">
        <v>183</v>
      </c>
      <c r="E40" s="8" t="s">
        <v>222</v>
      </c>
      <c r="F40" s="9" t="s">
        <v>168</v>
      </c>
      <c r="G40" s="23"/>
    </row>
    <row r="41" spans="1:7" ht="28.8" x14ac:dyDescent="0.3">
      <c r="A41" s="6">
        <v>41</v>
      </c>
      <c r="B41" s="35"/>
      <c r="C41" s="6">
        <v>3</v>
      </c>
      <c r="D41" s="21" t="s">
        <v>184</v>
      </c>
      <c r="E41" s="8" t="s">
        <v>222</v>
      </c>
      <c r="F41" s="9" t="s">
        <v>178</v>
      </c>
      <c r="G41" s="23"/>
    </row>
    <row r="42" spans="1:7" ht="28.8" x14ac:dyDescent="0.3">
      <c r="A42" s="6">
        <v>42</v>
      </c>
      <c r="B42" s="35"/>
      <c r="C42" s="6">
        <v>3</v>
      </c>
      <c r="D42" s="8" t="s">
        <v>185</v>
      </c>
      <c r="E42" s="8" t="s">
        <v>222</v>
      </c>
      <c r="F42" s="9" t="s">
        <v>168</v>
      </c>
      <c r="G42" s="23"/>
    </row>
    <row r="43" spans="1:7" ht="28.8" x14ac:dyDescent="0.3">
      <c r="A43" s="6">
        <v>43</v>
      </c>
      <c r="B43" s="35"/>
      <c r="C43" s="6">
        <v>3</v>
      </c>
      <c r="D43" s="8" t="s">
        <v>186</v>
      </c>
      <c r="E43" s="8" t="s">
        <v>222</v>
      </c>
      <c r="F43" s="9" t="s">
        <v>168</v>
      </c>
      <c r="G43" s="23"/>
    </row>
    <row r="44" spans="1:7" ht="28.8" x14ac:dyDescent="0.3">
      <c r="A44" s="6">
        <v>44</v>
      </c>
      <c r="B44" s="35"/>
      <c r="C44" s="6">
        <v>3</v>
      </c>
      <c r="D44" s="9" t="s">
        <v>187</v>
      </c>
      <c r="E44" s="8" t="s">
        <v>222</v>
      </c>
      <c r="F44" s="9" t="s">
        <v>168</v>
      </c>
      <c r="G44" s="23"/>
    </row>
    <row r="45" spans="1:7" ht="28.8" x14ac:dyDescent="0.3">
      <c r="A45" s="6">
        <v>45</v>
      </c>
      <c r="B45" s="35"/>
      <c r="C45" s="6">
        <v>3</v>
      </c>
      <c r="D45" s="8" t="s">
        <v>188</v>
      </c>
      <c r="E45" s="8" t="s">
        <v>222</v>
      </c>
      <c r="F45" s="9" t="s">
        <v>168</v>
      </c>
      <c r="G45" s="23"/>
    </row>
    <row r="46" spans="1:7" ht="28.8" x14ac:dyDescent="0.3">
      <c r="A46" s="6">
        <v>46</v>
      </c>
      <c r="B46" s="35"/>
      <c r="C46" s="6">
        <v>3</v>
      </c>
      <c r="D46" s="21" t="s">
        <v>189</v>
      </c>
      <c r="E46" s="8" t="s">
        <v>222</v>
      </c>
      <c r="F46" s="9" t="s">
        <v>178</v>
      </c>
      <c r="G46" s="23"/>
    </row>
    <row r="47" spans="1:7" ht="28.8" x14ac:dyDescent="0.3">
      <c r="A47" s="6">
        <v>47</v>
      </c>
      <c r="B47" s="35" t="s">
        <v>190</v>
      </c>
      <c r="C47" s="6">
        <v>3</v>
      </c>
      <c r="D47" s="22" t="s">
        <v>287</v>
      </c>
      <c r="E47" s="8" t="s">
        <v>222</v>
      </c>
      <c r="F47" s="9" t="s">
        <v>168</v>
      </c>
      <c r="G47" s="23"/>
    </row>
    <row r="48" spans="1:7" ht="28.8" x14ac:dyDescent="0.3">
      <c r="A48" s="6">
        <v>48</v>
      </c>
      <c r="B48" s="35"/>
      <c r="C48" s="6">
        <v>3</v>
      </c>
      <c r="D48" s="22" t="s">
        <v>289</v>
      </c>
      <c r="E48" s="8" t="s">
        <v>222</v>
      </c>
      <c r="F48" s="9" t="s">
        <v>168</v>
      </c>
      <c r="G48" s="23"/>
    </row>
    <row r="49" spans="1:7" ht="28.8" x14ac:dyDescent="0.3">
      <c r="A49" s="6">
        <v>49</v>
      </c>
      <c r="B49" s="35"/>
      <c r="C49" s="6">
        <v>3</v>
      </c>
      <c r="D49" s="22" t="s">
        <v>291</v>
      </c>
      <c r="E49" s="8" t="s">
        <v>222</v>
      </c>
      <c r="F49" s="9" t="s">
        <v>168</v>
      </c>
      <c r="G49" s="23"/>
    </row>
    <row r="50" spans="1:7" ht="28.8" x14ac:dyDescent="0.3">
      <c r="A50" s="6">
        <v>50</v>
      </c>
      <c r="B50" s="35"/>
      <c r="C50" s="6">
        <v>3</v>
      </c>
      <c r="D50" s="8" t="s">
        <v>293</v>
      </c>
      <c r="E50" s="8" t="s">
        <v>222</v>
      </c>
      <c r="F50" s="9" t="s">
        <v>168</v>
      </c>
      <c r="G50" s="23"/>
    </row>
    <row r="51" spans="1:7" ht="28.8" x14ac:dyDescent="0.3">
      <c r="A51" s="6">
        <v>51</v>
      </c>
      <c r="B51" s="35"/>
      <c r="C51" s="6">
        <v>3</v>
      </c>
      <c r="D51" s="22" t="s">
        <v>295</v>
      </c>
      <c r="E51" s="8" t="s">
        <v>222</v>
      </c>
      <c r="F51" s="9" t="s">
        <v>168</v>
      </c>
      <c r="G51" s="23"/>
    </row>
    <row r="52" spans="1:7" ht="43.2" x14ac:dyDescent="0.3">
      <c r="A52" s="25">
        <v>52</v>
      </c>
      <c r="B52" s="35"/>
      <c r="C52" s="25">
        <v>3</v>
      </c>
      <c r="D52" s="26" t="s">
        <v>359</v>
      </c>
      <c r="E52" s="27" t="s">
        <v>222</v>
      </c>
      <c r="F52" s="28" t="s">
        <v>178</v>
      </c>
      <c r="G52" s="23"/>
    </row>
    <row r="53" spans="1:7" ht="28.8" x14ac:dyDescent="0.3">
      <c r="A53" s="6">
        <v>54</v>
      </c>
      <c r="B53" s="35"/>
      <c r="C53" s="6">
        <v>3</v>
      </c>
      <c r="D53" s="22" t="s">
        <v>300</v>
      </c>
      <c r="E53" s="8" t="s">
        <v>222</v>
      </c>
      <c r="F53" s="9" t="s">
        <v>168</v>
      </c>
      <c r="G53" s="23"/>
    </row>
    <row r="54" spans="1:7" ht="28.8" x14ac:dyDescent="0.3">
      <c r="A54" s="6">
        <v>55</v>
      </c>
      <c r="B54" s="35"/>
      <c r="C54" s="6">
        <v>3</v>
      </c>
      <c r="D54" s="22" t="s">
        <v>302</v>
      </c>
      <c r="E54" s="8" t="s">
        <v>222</v>
      </c>
      <c r="F54" s="23" t="s">
        <v>178</v>
      </c>
      <c r="G54" s="23"/>
    </row>
    <row r="55" spans="1:7" ht="28.8" x14ac:dyDescent="0.3">
      <c r="A55" s="6">
        <v>56</v>
      </c>
      <c r="B55" s="35"/>
      <c r="C55" s="6">
        <v>4</v>
      </c>
      <c r="D55" s="22" t="s">
        <v>304</v>
      </c>
      <c r="E55" s="8" t="s">
        <v>222</v>
      </c>
      <c r="F55" s="9" t="s">
        <v>168</v>
      </c>
      <c r="G55" s="23"/>
    </row>
    <row r="56" spans="1:7" ht="28.8" x14ac:dyDescent="0.3">
      <c r="A56" s="6">
        <v>57</v>
      </c>
      <c r="B56" s="9" t="s">
        <v>305</v>
      </c>
      <c r="C56" s="6">
        <v>4</v>
      </c>
      <c r="D56" s="22" t="s">
        <v>309</v>
      </c>
      <c r="E56" s="8" t="s">
        <v>222</v>
      </c>
      <c r="F56" s="9" t="s">
        <v>178</v>
      </c>
      <c r="G56" s="23"/>
    </row>
    <row r="57" spans="1:7" ht="43.2" x14ac:dyDescent="0.3">
      <c r="A57" s="6">
        <v>58</v>
      </c>
      <c r="B57" s="36" t="s">
        <v>200</v>
      </c>
      <c r="C57" s="6">
        <v>4</v>
      </c>
      <c r="D57" s="8" t="s">
        <v>360</v>
      </c>
      <c r="E57" s="8" t="s">
        <v>222</v>
      </c>
      <c r="F57" s="9" t="s">
        <v>168</v>
      </c>
      <c r="G57" s="23"/>
    </row>
    <row r="58" spans="1:7" ht="43.2" x14ac:dyDescent="0.3">
      <c r="A58" s="6"/>
      <c r="B58" s="36"/>
      <c r="C58" s="6">
        <v>4</v>
      </c>
      <c r="D58" s="8" t="s">
        <v>361</v>
      </c>
      <c r="E58" s="8" t="s">
        <v>222</v>
      </c>
      <c r="F58" s="9" t="s">
        <v>168</v>
      </c>
      <c r="G58" s="23"/>
    </row>
    <row r="59" spans="1:7" ht="43.2" x14ac:dyDescent="0.3">
      <c r="A59" s="6">
        <v>59</v>
      </c>
      <c r="B59" s="36"/>
      <c r="C59" s="6">
        <v>4</v>
      </c>
      <c r="D59" s="8" t="s">
        <v>202</v>
      </c>
      <c r="E59" s="8" t="s">
        <v>222</v>
      </c>
      <c r="F59" s="9" t="s">
        <v>168</v>
      </c>
      <c r="G59" s="23"/>
    </row>
    <row r="60" spans="1:7" ht="43.2" x14ac:dyDescent="0.3">
      <c r="A60" s="6">
        <v>60</v>
      </c>
      <c r="B60" s="36"/>
      <c r="C60" s="6">
        <v>4</v>
      </c>
      <c r="D60" s="8" t="s">
        <v>203</v>
      </c>
      <c r="E60" s="8" t="s">
        <v>222</v>
      </c>
      <c r="F60" s="9" t="s">
        <v>168</v>
      </c>
      <c r="G60" s="23"/>
    </row>
    <row r="61" spans="1:7" ht="43.2" x14ac:dyDescent="0.3">
      <c r="A61" s="6">
        <v>61</v>
      </c>
      <c r="B61" s="36"/>
      <c r="C61" s="6">
        <v>4</v>
      </c>
      <c r="D61" s="8" t="s">
        <v>362</v>
      </c>
      <c r="E61" s="8" t="s">
        <v>222</v>
      </c>
      <c r="F61" s="9" t="s">
        <v>168</v>
      </c>
      <c r="G61" s="23"/>
    </row>
    <row r="62" spans="1:7" ht="28.8" x14ac:dyDescent="0.3">
      <c r="A62" s="23"/>
      <c r="B62" s="35" t="s">
        <v>205</v>
      </c>
      <c r="C62" s="6">
        <v>5</v>
      </c>
      <c r="D62" s="22" t="s">
        <v>363</v>
      </c>
      <c r="E62" s="8" t="s">
        <v>222</v>
      </c>
      <c r="F62" s="9" t="s">
        <v>168</v>
      </c>
      <c r="G62" s="23"/>
    </row>
    <row r="63" spans="1:7" ht="28.8" x14ac:dyDescent="0.3">
      <c r="A63" s="23"/>
      <c r="B63" s="35"/>
      <c r="C63" s="6" t="s">
        <v>364</v>
      </c>
      <c r="D63" s="22" t="s">
        <v>365</v>
      </c>
      <c r="E63" s="8" t="s">
        <v>222</v>
      </c>
      <c r="F63" s="9" t="s">
        <v>168</v>
      </c>
      <c r="G63" s="23"/>
    </row>
    <row r="64" spans="1:7" s="2" customFormat="1" ht="43.2" x14ac:dyDescent="0.3">
      <c r="A64" s="6">
        <v>65</v>
      </c>
      <c r="B64" s="9" t="s">
        <v>318</v>
      </c>
      <c r="C64" s="6" t="s">
        <v>319</v>
      </c>
      <c r="D64" s="22" t="s">
        <v>320</v>
      </c>
      <c r="E64" s="8" t="s">
        <v>222</v>
      </c>
      <c r="F64" s="9" t="s">
        <v>168</v>
      </c>
      <c r="G64" s="9"/>
    </row>
    <row r="65" spans="1:7" s="2" customFormat="1" ht="43.2" x14ac:dyDescent="0.3">
      <c r="A65" s="6">
        <v>66</v>
      </c>
      <c r="B65" s="9" t="s">
        <v>318</v>
      </c>
      <c r="C65" s="6" t="s">
        <v>319</v>
      </c>
      <c r="D65" s="22" t="s">
        <v>321</v>
      </c>
      <c r="E65" s="8" t="s">
        <v>222</v>
      </c>
      <c r="F65" s="9" t="s">
        <v>168</v>
      </c>
      <c r="G65" s="9"/>
    </row>
    <row r="66" spans="1:7" s="2" customFormat="1" ht="43.2" x14ac:dyDescent="0.3">
      <c r="A66" s="6">
        <v>67</v>
      </c>
      <c r="B66" s="9" t="s">
        <v>318</v>
      </c>
      <c r="C66" s="6" t="s">
        <v>319</v>
      </c>
      <c r="D66" s="22" t="s">
        <v>322</v>
      </c>
      <c r="E66" s="8" t="s">
        <v>222</v>
      </c>
      <c r="F66" s="9" t="s">
        <v>168</v>
      </c>
      <c r="G66" s="9"/>
    </row>
    <row r="67" spans="1:7" s="2" customFormat="1" ht="28.8" x14ac:dyDescent="0.3">
      <c r="A67" s="29">
        <v>68</v>
      </c>
      <c r="B67" s="30" t="s">
        <v>318</v>
      </c>
      <c r="C67" s="29" t="s">
        <v>319</v>
      </c>
      <c r="D67" s="31" t="s">
        <v>323</v>
      </c>
      <c r="E67" s="32" t="s">
        <v>222</v>
      </c>
      <c r="F67" s="32" t="s">
        <v>168</v>
      </c>
      <c r="G67" s="9"/>
    </row>
    <row r="68" spans="1:7" s="2" customFormat="1" ht="28.8" x14ac:dyDescent="0.3">
      <c r="A68" s="29">
        <v>69</v>
      </c>
      <c r="B68" s="30" t="s">
        <v>318</v>
      </c>
      <c r="C68" s="29" t="s">
        <v>319</v>
      </c>
      <c r="D68" s="31" t="s">
        <v>366</v>
      </c>
      <c r="E68" s="32" t="s">
        <v>222</v>
      </c>
      <c r="F68" s="32" t="s">
        <v>178</v>
      </c>
      <c r="G68" s="9"/>
    </row>
    <row r="69" spans="1:7" s="2" customFormat="1" ht="28.8" x14ac:dyDescent="0.3">
      <c r="A69" s="25">
        <v>70</v>
      </c>
      <c r="B69" s="33" t="s">
        <v>318</v>
      </c>
      <c r="C69" s="25">
        <v>7.8</v>
      </c>
      <c r="D69" s="26" t="s">
        <v>325</v>
      </c>
      <c r="E69" s="27" t="s">
        <v>222</v>
      </c>
      <c r="F69" s="27" t="s">
        <v>168</v>
      </c>
      <c r="G69" s="9"/>
    </row>
    <row r="70" spans="1:7" s="2" customFormat="1" ht="28.8" x14ac:dyDescent="0.3">
      <c r="A70" s="25">
        <v>71</v>
      </c>
      <c r="B70" s="33" t="s">
        <v>318</v>
      </c>
      <c r="C70" s="25">
        <v>7.8</v>
      </c>
      <c r="D70" s="26" t="s">
        <v>367</v>
      </c>
      <c r="E70" s="27" t="s">
        <v>222</v>
      </c>
      <c r="F70" s="27" t="s">
        <v>178</v>
      </c>
      <c r="G70" s="9"/>
    </row>
    <row r="71" spans="1:7" s="2" customFormat="1" ht="28.8" x14ac:dyDescent="0.3">
      <c r="A71" s="29">
        <v>72</v>
      </c>
      <c r="B71" s="30" t="s">
        <v>318</v>
      </c>
      <c r="C71" s="29">
        <v>9</v>
      </c>
      <c r="D71" s="31" t="s">
        <v>327</v>
      </c>
      <c r="E71" s="32" t="s">
        <v>222</v>
      </c>
      <c r="F71" s="32" t="s">
        <v>168</v>
      </c>
      <c r="G71" s="9"/>
    </row>
    <row r="72" spans="1:7" s="2" customFormat="1" ht="28.8" x14ac:dyDescent="0.3">
      <c r="A72" s="29">
        <v>73</v>
      </c>
      <c r="B72" s="30" t="s">
        <v>318</v>
      </c>
      <c r="C72" s="29">
        <v>9</v>
      </c>
      <c r="D72" s="31" t="s">
        <v>368</v>
      </c>
      <c r="E72" s="32" t="s">
        <v>222</v>
      </c>
      <c r="F72" s="32" t="s">
        <v>178</v>
      </c>
      <c r="G72" s="9"/>
    </row>
    <row r="73" spans="1:7" s="2" customFormat="1" ht="43.2" x14ac:dyDescent="0.3">
      <c r="A73" s="25">
        <v>74</v>
      </c>
      <c r="B73" s="33" t="s">
        <v>318</v>
      </c>
      <c r="C73" s="25" t="s">
        <v>369</v>
      </c>
      <c r="D73" s="26" t="s">
        <v>370</v>
      </c>
      <c r="E73" s="27" t="s">
        <v>222</v>
      </c>
      <c r="F73" s="27" t="s">
        <v>168</v>
      </c>
      <c r="G73" s="9"/>
    </row>
    <row r="74" spans="1:7" s="2" customFormat="1" ht="28.8" x14ac:dyDescent="0.3">
      <c r="A74" s="25">
        <v>75</v>
      </c>
      <c r="B74" s="33" t="s">
        <v>318</v>
      </c>
      <c r="C74" s="25" t="s">
        <v>369</v>
      </c>
      <c r="D74" s="26" t="s">
        <v>371</v>
      </c>
      <c r="E74" s="27" t="s">
        <v>222</v>
      </c>
      <c r="F74" s="27" t="s">
        <v>178</v>
      </c>
      <c r="G74" s="9"/>
    </row>
    <row r="75" spans="1:7" s="2" customFormat="1" ht="28.8" x14ac:dyDescent="0.3">
      <c r="A75" s="6">
        <v>76</v>
      </c>
      <c r="B75" s="9" t="s">
        <v>318</v>
      </c>
      <c r="C75" s="6" t="s">
        <v>319</v>
      </c>
      <c r="D75" s="22" t="s">
        <v>331</v>
      </c>
      <c r="E75" s="8" t="s">
        <v>222</v>
      </c>
      <c r="F75" s="9" t="s">
        <v>168</v>
      </c>
      <c r="G75" s="9"/>
    </row>
    <row r="76" spans="1:7" s="2" customFormat="1" ht="28.8" x14ac:dyDescent="0.3">
      <c r="A76" s="6">
        <v>77</v>
      </c>
      <c r="B76" s="9" t="s">
        <v>318</v>
      </c>
      <c r="C76" s="6" t="s">
        <v>319</v>
      </c>
      <c r="D76" s="22" t="s">
        <v>372</v>
      </c>
      <c r="E76" s="8" t="s">
        <v>222</v>
      </c>
      <c r="F76" s="9" t="s">
        <v>168</v>
      </c>
      <c r="G76" s="9"/>
    </row>
    <row r="77" spans="1:7" ht="28.8" x14ac:dyDescent="0.3">
      <c r="A77" s="6">
        <v>78</v>
      </c>
      <c r="B77" s="9" t="s">
        <v>318</v>
      </c>
      <c r="C77" s="6" t="s">
        <v>319</v>
      </c>
      <c r="D77" s="22" t="s">
        <v>373</v>
      </c>
      <c r="E77" s="8" t="s">
        <v>222</v>
      </c>
      <c r="F77" s="9" t="s">
        <v>168</v>
      </c>
      <c r="G77" s="23"/>
    </row>
    <row r="78" spans="1:7" ht="28.8" x14ac:dyDescent="0.3">
      <c r="A78" s="6">
        <v>79</v>
      </c>
      <c r="B78" s="9" t="s">
        <v>318</v>
      </c>
      <c r="C78" s="6" t="s">
        <v>319</v>
      </c>
      <c r="D78" s="22" t="s">
        <v>374</v>
      </c>
      <c r="E78" s="8" t="s">
        <v>222</v>
      </c>
      <c r="F78" s="9" t="s">
        <v>168</v>
      </c>
      <c r="G78" s="23"/>
    </row>
  </sheetData>
  <autoFilter ref="A1:F1" xr:uid="{1BC52545-6C02-4FDB-ACE3-42D6243B0499}"/>
  <mergeCells count="7">
    <mergeCell ref="B2:B4"/>
    <mergeCell ref="B62:B63"/>
    <mergeCell ref="B6:B19"/>
    <mergeCell ref="B20:B32"/>
    <mergeCell ref="B33:B46"/>
    <mergeCell ref="B47:B55"/>
    <mergeCell ref="B57:B6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1FDB4F0C1F0B409720E7803CCE5642" ma:contentTypeVersion="7" ma:contentTypeDescription="Create a new document." ma:contentTypeScope="" ma:versionID="d3f858b5c2c699fbcaddd91e9eb51104">
  <xsd:schema xmlns:xsd="http://www.w3.org/2001/XMLSchema" xmlns:xs="http://www.w3.org/2001/XMLSchema" xmlns:p="http://schemas.microsoft.com/office/2006/metadata/properties" xmlns:ns2="83db492b-a269-4993-aa5f-c4045cab7ea8" targetNamespace="http://schemas.microsoft.com/office/2006/metadata/properties" ma:root="true" ma:fieldsID="b24251130115db76064c6ac6fa536ed7" ns2:_="">
    <xsd:import namespace="83db492b-a269-4993-aa5f-c4045cab7e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db492b-a269-4993-aa5f-c4045cab7e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418ACE-5C24-4D15-BEC0-AD8D19D4CE8C}">
  <ds:schemaRef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purl.org/dc/elements/1.1/"/>
    <ds:schemaRef ds:uri="http://purl.org/dc/terms/"/>
    <ds:schemaRef ds:uri="83db492b-a269-4993-aa5f-c4045cab7ea8"/>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0D08A7D-E314-4776-85A0-E7FE4A25C91F}">
  <ds:schemaRefs>
    <ds:schemaRef ds:uri="http://schemas.microsoft.com/sharepoint/v3/contenttype/forms"/>
  </ds:schemaRefs>
</ds:datastoreItem>
</file>

<file path=customXml/itemProps3.xml><?xml version="1.0" encoding="utf-8"?>
<ds:datastoreItem xmlns:ds="http://schemas.openxmlformats.org/officeDocument/2006/customXml" ds:itemID="{4E7C5A1D-64BF-4542-916E-91F9E5D0B1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db492b-a269-4993-aa5f-c4045cab7e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 Ole </vt:lpstr>
      <vt:lpstr>Version Luca</vt:lpstr>
      <vt:lpstr>Version Raphi</vt:lpstr>
      <vt:lpstr>Finale 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Ole Trosin</cp:lastModifiedBy>
  <cp:revision/>
  <dcterms:created xsi:type="dcterms:W3CDTF">2026-02-19T08:06:31Z</dcterms:created>
  <dcterms:modified xsi:type="dcterms:W3CDTF">2026-03-29T08:56:57Z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0x010100761FDB4F0C1F0B409720E7803CCE5642</vt:lpwstr>
  </property>
</Properties>
</file>